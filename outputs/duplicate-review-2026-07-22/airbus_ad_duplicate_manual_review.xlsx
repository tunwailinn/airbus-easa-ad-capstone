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7c4390cee645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c34a7ffdf41454c"/>
    <x:sheet xmlns:r="http://schemas.openxmlformats.org/officeDocument/2006/relationships" name="Same-Version Review" sheetId="2" r:id="Rdad6210ed876424a"/>
    <x:sheet xmlns:r="http://schemas.openxmlformats.org/officeDocument/2006/relationships" name="Near-Duplicate Review" sheetId="3" r:id="R24af8f669f244f94"/>
    <x:sheet xmlns:r="http://schemas.openxmlformats.org/officeDocument/2006/relationships" name="Parser Fix" sheetId="4" r:id="R2aca1a5b963f48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000"/>
  </x:numFmts>
  <x:fonts count="16">
    <x:font>
      <x:sz val="11"/>
      <x:name val="Carlito"/>
    </x:font>
    <x:font>
      <x:b/>
      <x:sz val="18"/>
      <x:color rgb="FFFFFFFF"/>
      <x:name val="Carlito"/>
    </x:font>
    <x:font>
      <x:sz val="10"/>
      <x:color rgb="FF475569"/>
      <x:name val="Carlito"/>
    </x:font>
    <x:font>
      <x:b/>
      <x:sz val="11"/>
      <x:color rgb="FFFFFFFF"/>
      <x:name val="Carlito"/>
    </x:font>
    <x:font>
      <x:b/>
      <x:sz val="11"/>
      <x:color rgb="FF14532D"/>
      <x:name val="Carlito"/>
    </x:font>
    <x:font>
      <x:sz val="11"/>
      <x:color rgb="FF475569"/>
      <x:name val="Carlito"/>
    </x:font>
    <x:font>
      <x:b/>
      <x:sz val="14"/>
      <x:color rgb="FF0F2942"/>
      <x:name val="Carlito"/>
    </x:font>
    <x:font>
      <x:b/>
      <x:sz val="10"/>
      <x:color rgb="FFFFFFFF"/>
      <x:name val="Carlito"/>
    </x:font>
    <x:font>
      <x:b/>
      <x:sz val="11"/>
      <x:color rgb="FF0F2942"/>
      <x:name val="Carlito"/>
    </x:font>
    <x:font>
      <x:b/>
      <x:sz val="11"/>
      <x:color rgb="FF0F766E"/>
      <x:name val="Carlito"/>
    </x:font>
    <x:font>
      <x:b/>
      <x:sz val="11"/>
      <x:color rgb="FF475569"/>
      <x:name val="Carlito"/>
    </x:font>
    <x:font>
      <x:sz val="11"/>
      <x:color rgb="FF2563EB"/>
      <x:name val="Carlito"/>
    </x:font>
    <x:font>
      <x:b/>
      <x:sz val="11"/>
      <x:color rgb="FFB45309"/>
      <x:name val="Carlito"/>
    </x:font>
    <x:font>
      <x:sz val="9"/>
      <x:color rgb="FF172033"/>
      <x:name val="Carlito"/>
    </x:font>
    <x:font>
      <x:sz val="8"/>
      <x:color rgb="FF2563EB"/>
      <x:name val="Carlito"/>
    </x:font>
    <x:font>
      <x:sz val="10"/>
      <x:color rgb="FFD1FAE5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0F2942"/>
      </x:patternFill>
    </x:fill>
    <x:fill>
      <x:patternFill patternType="solid">
        <x:fgColor rgb="FFEAF2F8"/>
      </x:patternFill>
    </x:fill>
    <x:fill>
      <x:patternFill patternType="solid">
        <x:fgColor rgb="FF0F766E"/>
      </x:patternFill>
    </x:fill>
    <x:fill>
      <x:patternFill patternType="solid">
        <x:fgColor rgb="FFDCFCE7"/>
      </x:patternFill>
    </x:fill>
    <x:fill>
      <x:patternFill patternType="solid">
        <x:fgColor rgb="FFF8FAFC"/>
      </x:patternFill>
    </x:fill>
    <x:fill>
      <x:patternFill patternType="solid">
        <x:fgColor rgb="FFE2E8F0"/>
      </x:patternFill>
    </x:fill>
    <x:fill>
      <x:patternFill patternType="solid">
        <x:fgColor rgb="FFFEF3C7"/>
      </x:patternFill>
    </x:fill>
    <x:fill>
      <x:patternFill patternType="solid">
        <x:fgColor rgb="FFDBEAFE"/>
      </x:patternFill>
    </x:fill>
    <x:fill>
      <x:patternFill patternType="solid">
        <x:fgColor rgb="FF0B1220"/>
      </x:patternFill>
    </x:fill>
  </x:fills>
  <x:borders count="27">
    <x:border/>
    <x:border>
      <x:left style="medium">
        <x:color rgb="FF86A886"/>
      </x:left>
      <x:top style="medium">
        <x:color rgb="FF86A886"/>
      </x:top>
    </x:border>
    <x:border>
      <x:right style="medium">
        <x:color rgb="FF86A886"/>
      </x:right>
      <x:top style="medium">
        <x:color rgb="FF86A886"/>
      </x:top>
    </x:border>
    <x:border>
      <x:left style="medium">
        <x:color rgb="FF86A886"/>
      </x:left>
    </x:border>
    <x:border>
      <x:right style="medium">
        <x:color rgb="FF86A886"/>
      </x:right>
    </x:border>
    <x:border>
      <x:left style="medium">
        <x:color rgb="FF86A886"/>
      </x:left>
      <x:bottom style="medium">
        <x:color rgb="FF86A886"/>
      </x:bottom>
    </x:border>
    <x:border>
      <x:right style="medium">
        <x:color rgb="FF86A886"/>
      </x:right>
      <x:bottom style="medium">
        <x:color rgb="FF86A886"/>
      </x:bottom>
    </x:border>
    <x:border>
      <x:right style="thin">
        <x:color rgb="FFD7E0E8"/>
      </x:right>
      <x:bottom style="thin">
        <x:color rgb="FFD7E0E8"/>
      </x:bottom>
    </x:border>
    <x:border>
      <x:left style="thin">
        <x:color rgb="FFD7E0E8"/>
      </x:left>
      <x:bottom style="thin">
        <x:color rgb="FFD7E0E8"/>
      </x:bottom>
    </x:border>
    <x:border>
      <x:right style="thin">
        <x:color rgb="FFD7E0E8"/>
      </x:right>
      <x:top style="thin">
        <x:color rgb="FFD7E0E8"/>
      </x:top>
      <x:bottom style="thin">
        <x:color rgb="FFD7E0E8"/>
      </x:bottom>
    </x:border>
    <x:border>
      <x:left style="thin">
        <x:color rgb="FFD7E0E8"/>
      </x:left>
      <x:top style="thin">
        <x:color rgb="FFD7E0E8"/>
      </x:top>
      <x:bottom style="thin">
        <x:color rgb="FFD7E0E8"/>
      </x:bottom>
    </x:border>
    <x:border>
      <x:right style="thin">
        <x:color rgb="FFD7E0E8"/>
      </x:right>
      <x:top style="thin">
        <x:color rgb="FFD7E0E8"/>
      </x:top>
    </x:border>
    <x:border>
      <x:left style="thin">
        <x:color rgb="FFD7E0E8"/>
      </x:left>
      <x:top style="thin">
        <x:color rgb="FFD7E0E8"/>
      </x:top>
    </x:border>
    <x:border>
      <x:left style="thin">
        <x:color rgb="FF9FB3C8"/>
      </x:left>
      <x:top style="thin">
        <x:color rgb="FF9FB3C8"/>
      </x:top>
      <x:bottom style="thin">
        <x:color rgb="FF9FB3C8"/>
      </x:bottom>
    </x:border>
    <x:border>
      <x:top style="thin">
        <x:color rgb="FF9FB3C8"/>
      </x:top>
      <x:bottom style="thin">
        <x:color rgb="FF9FB3C8"/>
      </x:bottom>
    </x:border>
    <x:border>
      <x:right style="thin">
        <x:color rgb="FF9FB3C8"/>
      </x:right>
      <x:top style="thin">
        <x:color rgb="FF9FB3C8"/>
      </x:top>
      <x:bottom style="thin">
        <x:color rgb="FF9FB3C8"/>
      </x:bottom>
    </x:border>
    <x:border>
      <x:bottom style="thin">
        <x:color rgb="FFD7E0E8"/>
      </x:bottom>
    </x:border>
    <x:border>
      <x:top style="thin">
        <x:color rgb="FFD7E0E8"/>
      </x:top>
      <x:bottom style="thin">
        <x:color rgb="FFD7E0E8"/>
      </x:bottom>
    </x:border>
    <x:border>
      <x:top style="thin">
        <x:color rgb="FFD7E0E8"/>
      </x:top>
    </x:border>
    <x:border>
      <x:left style="thin">
        <x:color rgb="FF334155"/>
      </x:left>
      <x:top style="thin">
        <x:color rgb="FF334155"/>
      </x:top>
    </x:border>
    <x:border>
      <x:top style="thin">
        <x:color rgb="FF334155"/>
      </x:top>
    </x:border>
    <x:border>
      <x:right style="thin">
        <x:color rgb="FF334155"/>
      </x:right>
      <x:top style="thin">
        <x:color rgb="FF334155"/>
      </x:top>
    </x:border>
    <x:border>
      <x:left style="thin">
        <x:color rgb="FF334155"/>
      </x:left>
    </x:border>
    <x:border>
      <x:right style="thin">
        <x:color rgb="FF334155"/>
      </x:right>
    </x:border>
    <x:border>
      <x:left style="thin">
        <x:color rgb="FF334155"/>
      </x:left>
      <x:bottom style="thin">
        <x:color rgb="FF334155"/>
      </x:bottom>
    </x:border>
    <x:border>
      <x:bottom style="thin">
        <x:color rgb="FF334155"/>
      </x:bottom>
    </x:border>
    <x:border>
      <x:right style="thin">
        <x:color rgb="FF334155"/>
      </x:right>
      <x:bottom style="thin">
        <x:color rgb="FF334155"/>
      </x:bottom>
    </x:border>
  </x:borders>
  <x:cellStyleXfs count="1">
    <x:xf numFmtId="0" fontId="0" fillId="0" borderId="0"/>
  </x:cellStyleXfs>
  <x:cellXfs count="16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vertical="center" wrapText="1"/>
    </x:xf>
    <x:xf numFmtId="0" fontId="4" fillId="5" borderId="3" xfId="0" applyNumberFormat="1" applyFont="1" applyFill="1" applyBorder="1" applyAlignment="1">
      <x:alignment vertical="center" wrapText="1"/>
    </x:xf>
    <x:xf numFmtId="0" fontId="4" fillId="5" borderId="4" xfId="0" applyNumberFormat="1" applyFont="1" applyFill="1" applyBorder="1" applyAlignment="1">
      <x:alignment vertical="center" wrapText="1"/>
    </x:xf>
    <x:xf numFmtId="0" fontId="4" fillId="5" borderId="5" xfId="0" applyNumberFormat="1" applyFont="1" applyFill="1" applyBorder="1" applyAlignment="1">
      <x:alignment vertical="center" wrapText="1"/>
    </x:xf>
    <x:xf numFmtId="0" fontId="4" fillId="5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5" fillId="0" borderId="7" xfId="0" applyNumberFormat="1" applyFont="1" applyFill="1" applyBorder="1"/>
    <x:xf numFmtId="0" fontId="5" fillId="0" borderId="9" xfId="0" applyNumberFormat="1" applyFont="1" applyFill="1" applyBorder="1"/>
    <x:xf numFmtId="0" fontId="5" fillId="0" borderId="11" xfId="0" applyNumberFormat="1" applyFont="1" applyFill="1" applyBorder="1"/>
    <x:xf numFmtId="0" fontId="0" fillId="6" borderId="8" xfId="0" applyNumberFormat="1" applyFont="1" applyFill="1" applyBorder="1"/>
    <x:xf numFmtId="0" fontId="0" fillId="6" borderId="10" xfId="0" applyNumberFormat="1" applyFont="1" applyFill="1" applyBorder="1"/>
    <x:xf numFmtId="0" fontId="0" fillId="6" borderId="12" xfId="0" applyNumberFormat="1" applyFont="1" applyFill="1" applyBorder="1"/>
    <x:xf numFmtId="0" fontId="6" fillId="6" borderId="8" xfId="0" applyNumberFormat="1" applyFont="1" applyFill="1" applyBorder="1"/>
    <x:xf numFmtId="0" fontId="6" fillId="6" borderId="10" xfId="0" applyNumberFormat="1" applyFont="1" applyFill="1" applyBorder="1"/>
    <x:xf numFmtId="0" fontId="6" fillId="6" borderId="12" xfId="0" applyNumberFormat="1" applyFont="1" applyFill="1" applyBorder="1"/>
    <x:xf numFmtId="0" fontId="6" fillId="6" borderId="8" xfId="0" applyNumberFormat="1" applyFont="1" applyFill="1" applyBorder="1" applyAlignment="1">
      <x:alignment horizontal="center"/>
    </x:xf>
    <x:xf numFmtId="0" fontId="6" fillId="6" borderId="10" xfId="0" applyNumberFormat="1" applyFont="1" applyFill="1" applyBorder="1" applyAlignment="1">
      <x:alignment horizontal="center"/>
    </x:xf>
    <x:xf numFmtId="0" fontId="6" fillId="6" borderId="12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/>
    <x:xf numFmtId="0" fontId="7" fillId="2" borderId="13" xfId="0" applyNumberFormat="1" applyFont="1" applyFill="1" applyBorder="1"/>
    <x:xf numFmtId="0" fontId="7" fillId="2" borderId="14" xfId="0" applyNumberFormat="1" applyFont="1" applyFill="1" applyBorder="1"/>
    <x:xf numFmtId="0" fontId="7" fillId="2" borderId="15" xfId="0" applyNumberFormat="1" applyFont="1" applyFill="1" applyBorder="1"/>
    <x:xf numFmtId="0" fontId="7" fillId="2" borderId="13" xfId="0" applyNumberFormat="1" applyFont="1" applyFill="1" applyBorder="1" applyAlignment="1">
      <x:alignment wrapText="1"/>
    </x:xf>
    <x:xf numFmtId="0" fontId="7" fillId="2" borderId="14" xfId="0" applyNumberFormat="1" applyFont="1" applyFill="1" applyBorder="1" applyAlignment="1">
      <x:alignment wrapText="1"/>
    </x:xf>
    <x:xf numFmtId="0" fontId="7" fillId="2" borderId="15" xfId="0" applyNumberFormat="1" applyFont="1" applyFill="1" applyBorder="1" applyAlignment="1">
      <x:alignment wrapText="1"/>
    </x:xf>
    <x:xf numFmtId="0" fontId="7" fillId="2" borderId="13" xfId="0" applyNumberFormat="1" applyFont="1" applyFill="1" applyBorder="1" applyAlignment="1">
      <x:alignment vertical="center" wrapText="1"/>
    </x:xf>
    <x:xf numFmtId="0" fontId="7" fillId="2" borderId="14" xfId="0" applyNumberFormat="1" applyFont="1" applyFill="1" applyBorder="1" applyAlignment="1">
      <x:alignment vertical="center" wrapText="1"/>
    </x:xf>
    <x:xf numFmtId="0" fontId="7" fillId="2" borderId="15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 applyAlignment="1">
      <x:alignment vertical="top" wrapText="1"/>
    </x:xf>
    <x:xf numFmtId="0" fontId="9" fillId="0" borderId="0" xfId="0" applyNumberFormat="1" applyFont="1" applyFill="1" applyBorder="1" applyAlignment="1">
      <x:alignment vertical="top" wrapText="1"/>
    </x:xf>
    <x:xf numFmtId="0" fontId="8" fillId="0" borderId="16" xfId="0" applyNumberFormat="1" applyFont="1" applyFill="1" applyBorder="1" applyAlignment="1">
      <x:alignment vertical="top" wrapText="1"/>
    </x:xf>
    <x:xf numFmtId="0" fontId="9" fillId="0" borderId="16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8" fillId="0" borderId="17" xfId="0" applyNumberFormat="1" applyFont="1" applyFill="1" applyBorder="1" applyAlignment="1">
      <x:alignment vertical="top" wrapText="1"/>
    </x:xf>
    <x:xf numFmtId="0" fontId="9" fillId="0" borderId="17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10" fillId="0" borderId="0" xfId="0" applyNumberFormat="1" applyFont="1" applyFill="1" applyBorder="1"/>
    <x:xf numFmtId="0" fontId="11" fillId="0" borderId="0" xfId="0" applyNumberFormat="1" applyFont="1" applyFill="1" applyBorder="1"/>
    <x:xf numFmtId="0" fontId="10" fillId="0" borderId="16" xfId="0" applyNumberFormat="1" applyFont="1" applyFill="1" applyBorder="1"/>
    <x:xf numFmtId="0" fontId="11" fillId="0" borderId="16" xfId="0" applyNumberFormat="1" applyFont="1" applyFill="1" applyBorder="1"/>
    <x:xf numFmtId="0" fontId="10" fillId="0" borderId="17" xfId="0" applyNumberFormat="1" applyFont="1" applyFill="1" applyBorder="1"/>
    <x:xf numFmtId="0" fontId="11" fillId="0" borderId="17" xfId="0" applyNumberFormat="1" applyFont="1" applyFill="1" applyBorder="1"/>
    <x:xf numFmtId="0" fontId="10" fillId="0" borderId="18" xfId="0" applyNumberFormat="1" applyFont="1" applyFill="1" applyBorder="1"/>
    <x:xf numFmtId="0" fontId="11" fillId="0" borderId="18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5" fillId="0" borderId="7" xfId="0" applyNumberFormat="1" applyFont="1" applyFill="1" applyBorder="1" applyAlignment="1">
      <x:alignment vertical="center"/>
    </x:xf>
    <x:xf numFmtId="0" fontId="6" fillId="6" borderId="8" xfId="0" applyNumberFormat="1" applyFont="1" applyFill="1" applyBorder="1" applyAlignment="1">
      <x:alignment horizontal="center" vertical="center"/>
    </x:xf>
    <x:xf numFmtId="0" fontId="5" fillId="0" borderId="9" xfId="0" applyNumberFormat="1" applyFont="1" applyFill="1" applyBorder="1" applyAlignment="1">
      <x:alignment vertical="center"/>
    </x:xf>
    <x:xf numFmtId="0" fontId="6" fillId="6" borderId="10" xfId="0" applyNumberFormat="1" applyFont="1" applyFill="1" applyBorder="1" applyAlignment="1">
      <x:alignment horizontal="center" vertical="center"/>
    </x:xf>
    <x:xf numFmtId="0" fontId="5" fillId="0" borderId="11" xfId="0" applyNumberFormat="1" applyFont="1" applyFill="1" applyBorder="1" applyAlignment="1">
      <x:alignment vertical="center"/>
    </x:xf>
    <x:xf numFmtId="0" fontId="6" fillId="6" borderId="12" xfId="0" applyNumberFormat="1" applyFont="1" applyFill="1" applyBorder="1" applyAlignment="1">
      <x:alignment horizontal="center" vertical="center"/>
    </x:xf>
    <x:xf numFmtId="0" fontId="8" fillId="0" borderId="16" xfId="0" applyNumberFormat="1" applyFont="1" applyFill="1" applyBorder="1" applyAlignment="1">
      <x:alignment vertical="center" wrapText="1"/>
    </x:xf>
    <x:xf numFmtId="0" fontId="9" fillId="0" borderId="16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8" fillId="0" borderId="17" xfId="0" applyNumberFormat="1" applyFont="1" applyFill="1" applyBorder="1" applyAlignment="1">
      <x:alignment vertical="center" wrapText="1"/>
    </x:xf>
    <x:xf numFmtId="0" fontId="9" fillId="0" borderId="17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8" fillId="7" borderId="0" xfId="0" applyNumberFormat="1" applyFont="1" applyFill="1" applyBorder="1" applyAlignment="1">
      <x:alignment vertical="center"/>
    </x:xf>
    <x:xf numFmtId="0" fontId="10" fillId="0" borderId="16" xfId="0" applyNumberFormat="1" applyFont="1" applyFill="1" applyBorder="1" applyAlignment="1">
      <x:alignment vertical="center"/>
    </x:xf>
    <x:xf numFmtId="0" fontId="11" fillId="0" borderId="16" xfId="0" applyNumberFormat="1" applyFont="1" applyFill="1" applyBorder="1" applyAlignment="1">
      <x:alignment vertical="center"/>
    </x:xf>
    <x:xf numFmtId="0" fontId="10" fillId="0" borderId="17" xfId="0" applyNumberFormat="1" applyFont="1" applyFill="1" applyBorder="1" applyAlignment="1">
      <x:alignment vertical="center"/>
    </x:xf>
    <x:xf numFmtId="0" fontId="11" fillId="0" borderId="17" xfId="0" applyNumberFormat="1" applyFont="1" applyFill="1" applyBorder="1" applyAlignment="1">
      <x:alignment vertical="center"/>
    </x:xf>
    <x:xf numFmtId="0" fontId="10" fillId="0" borderId="18" xfId="0" applyNumberFormat="1" applyFont="1" applyFill="1" applyBorder="1" applyAlignment="1">
      <x:alignment vertical="center"/>
    </x:xf>
    <x:xf numFmtId="0" fontId="11" fillId="0" borderId="18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12" fillId="8" borderId="0" xfId="0" applyNumberFormat="1" applyFont="1" applyFill="1" applyBorder="1"/>
    <x:xf numFmtId="0" fontId="12" fillId="8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13" fillId="0" borderId="0" xfId="0" applyNumberFormat="1" applyFont="1" applyFill="1" applyBorder="1"/>
    <x:xf numFmtId="200" fontId="13" fillId="0" borderId="0" xfId="0" applyNumberFormat="1" applyFont="1" applyFill="1" applyBorder="1"/>
    <x:xf numFmtId="0" fontId="13" fillId="0" borderId="0" xfId="0" applyNumberFormat="1" applyFont="1" applyFill="1" applyBorder="1" applyAlignment="1">
      <x:alignment wrapText="1"/>
    </x:xf>
    <x:xf numFmtId="200" fontId="13" fillId="0" borderId="0" xfId="0" applyNumberFormat="1" applyFont="1" applyFill="1" applyBorder="1" applyAlignment="1">
      <x:alignment wrapText="1"/>
    </x:xf>
    <x:xf numFmtId="0" fontId="13" fillId="0" borderId="0" xfId="0" applyNumberFormat="1" applyFont="1" applyFill="1" applyBorder="1" applyAlignment="1">
      <x:alignment vertical="top" wrapText="1"/>
    </x:xf>
    <x:xf numFmtId="200" fontId="13" fillId="0" borderId="0" xfId="0" applyNumberFormat="1" applyFont="1" applyFill="1" applyBorder="1" applyAlignment="1">
      <x:alignment vertical="top" wrapText="1"/>
    </x:xf>
    <x:xf numFmtId="0" fontId="13" fillId="0" borderId="0" xfId="0" applyNumberFormat="1" applyFont="1" applyFill="1" applyBorder="1" applyAlignment="1">
      <x:alignment horizontal="center" vertical="top" wrapText="1"/>
    </x:xf>
    <x:xf numFmtId="200" fontId="13" fillId="0" borderId="0" xfId="0" applyNumberFormat="1" applyFont="1" applyFill="1" applyBorder="1" applyAlignment="1">
      <x:alignment horizontal="center" vertical="top" wrapText="1"/>
    </x:xf>
    <x:xf numFmtId="0" fontId="14" fillId="0" borderId="0" xfId="0" applyNumberFormat="1" applyFont="1" applyFill="1" applyBorder="1" applyAlignment="1">
      <x:alignment vertical="top" wrapText="1"/>
    </x:xf>
    <x:xf numFmtId="0" fontId="13" fillId="0" borderId="16" xfId="0" applyNumberFormat="1" applyFont="1" applyFill="1" applyBorder="1" applyAlignment="1">
      <x:alignment horizontal="center" vertical="top" wrapText="1"/>
    </x:xf>
    <x:xf numFmtId="0" fontId="13" fillId="0" borderId="16" xfId="0" applyNumberFormat="1" applyFont="1" applyFill="1" applyBorder="1" applyAlignment="1">
      <x:alignment vertical="top" wrapText="1"/>
    </x:xf>
    <x:xf numFmtId="200" fontId="13" fillId="0" borderId="16" xfId="0" applyNumberFormat="1" applyFont="1" applyFill="1" applyBorder="1" applyAlignment="1">
      <x:alignment horizontal="center" vertical="top" wrapText="1"/>
    </x:xf>
    <x:xf numFmtId="0" fontId="14" fillId="0" borderId="16" xfId="0" applyNumberFormat="1" applyFont="1" applyFill="1" applyBorder="1" applyAlignment="1">
      <x:alignment vertical="top" wrapText="1"/>
    </x:xf>
    <x:xf numFmtId="0" fontId="13" fillId="0" borderId="17" xfId="0" applyNumberFormat="1" applyFont="1" applyFill="1" applyBorder="1" applyAlignment="1">
      <x:alignment horizontal="center" vertical="top" wrapText="1"/>
    </x:xf>
    <x:xf numFmtId="0" fontId="13" fillId="0" borderId="17" xfId="0" applyNumberFormat="1" applyFont="1" applyFill="1" applyBorder="1" applyAlignment="1">
      <x:alignment vertical="top" wrapText="1"/>
    </x:xf>
    <x:xf numFmtId="200" fontId="13" fillId="0" borderId="17" xfId="0" applyNumberFormat="1" applyFont="1" applyFill="1" applyBorder="1" applyAlignment="1">
      <x:alignment horizontal="center" vertical="top" wrapText="1"/>
    </x:xf>
    <x:xf numFmtId="0" fontId="14" fillId="0" borderId="17" xfId="0" applyNumberFormat="1" applyFont="1" applyFill="1" applyBorder="1" applyAlignment="1">
      <x:alignment vertical="top" wrapText="1"/>
    </x:xf>
    <x:xf numFmtId="0" fontId="13" fillId="0" borderId="18" xfId="0" applyNumberFormat="1" applyFont="1" applyFill="1" applyBorder="1" applyAlignment="1">
      <x:alignment horizontal="center" vertical="top" wrapText="1"/>
    </x:xf>
    <x:xf numFmtId="0" fontId="13" fillId="0" borderId="18" xfId="0" applyNumberFormat="1" applyFont="1" applyFill="1" applyBorder="1" applyAlignment="1">
      <x:alignment vertical="top" wrapText="1"/>
    </x:xf>
    <x:xf numFmtId="200" fontId="13" fillId="0" borderId="18" xfId="0" applyNumberFormat="1" applyFont="1" applyFill="1" applyBorder="1" applyAlignment="1">
      <x:alignment horizontal="center" vertical="top" wrapText="1"/>
    </x:xf>
    <x:xf numFmtId="0" fontId="14" fillId="0" borderId="18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13" fillId="0" borderId="0" xfId="0" applyNumberFormat="1" applyFont="1" applyFill="1" applyBorder="1"/>
    <x:xf numFmtId="201" fontId="13" fillId="0" borderId="0" xfId="0" applyNumberFormat="1" applyFont="1" applyFill="1" applyBorder="1" applyAlignment="1">
      <x:alignment wrapText="1"/>
    </x:xf>
    <x:xf numFmtId="201" fontId="13" fillId="0" borderId="0" xfId="0" applyNumberFormat="1" applyFont="1" applyFill="1" applyBorder="1" applyAlignment="1">
      <x:alignment vertical="top" wrapText="1"/>
    </x:xf>
    <x:xf numFmtId="201" fontId="13" fillId="0" borderId="0" xfId="0" applyNumberFormat="1" applyFont="1" applyFill="1" applyBorder="1" applyAlignment="1">
      <x:alignment horizontal="center" vertical="top" wrapText="1"/>
    </x:xf>
    <x:xf numFmtId="201" fontId="13" fillId="0" borderId="16" xfId="0" applyNumberFormat="1" applyFont="1" applyFill="1" applyBorder="1" applyAlignment="1">
      <x:alignment horizontal="center" vertical="top" wrapText="1"/>
    </x:xf>
    <x:xf numFmtId="201" fontId="13" fillId="0" borderId="17" xfId="0" applyNumberFormat="1" applyFont="1" applyFill="1" applyBorder="1" applyAlignment="1">
      <x:alignment horizontal="center" vertical="top" wrapText="1"/>
    </x:xf>
    <x:xf numFmtId="201" fontId="13" fillId="0" borderId="18" xfId="0" applyNumberFormat="1" applyFont="1" applyFill="1" applyBorder="1" applyAlignment="1">
      <x:alignment horizontal="center"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8" fillId="0" borderId="18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15" fillId="10" borderId="0" xfId="0" applyNumberFormat="1" applyFont="1" applyFill="1" applyBorder="1"/>
    <x:xf numFmtId="0" fontId="15" fillId="10" borderId="19" xfId="0" applyNumberFormat="1" applyFont="1" applyFill="1" applyBorder="1"/>
    <x:xf numFmtId="0" fontId="15" fillId="10" borderId="20" xfId="0" applyNumberFormat="1" applyFont="1" applyFill="1" applyBorder="1"/>
    <x:xf numFmtId="0" fontId="15" fillId="10" borderId="21" xfId="0" applyNumberFormat="1" applyFont="1" applyFill="1" applyBorder="1"/>
    <x:xf numFmtId="0" fontId="15" fillId="10" borderId="22" xfId="0" applyNumberFormat="1" applyFont="1" applyFill="1" applyBorder="1"/>
    <x:xf numFmtId="0" fontId="15" fillId="10" borderId="23" xfId="0" applyNumberFormat="1" applyFont="1" applyFill="1" applyBorder="1"/>
    <x:xf numFmtId="0" fontId="15" fillId="10" borderId="24" xfId="0" applyNumberFormat="1" applyFont="1" applyFill="1" applyBorder="1"/>
    <x:xf numFmtId="0" fontId="15" fillId="10" borderId="25" xfId="0" applyNumberFormat="1" applyFont="1" applyFill="1" applyBorder="1"/>
    <x:xf numFmtId="0" fontId="15" fillId="10" borderId="26" xfId="0" applyNumberFormat="1" applyFont="1" applyFill="1" applyBorder="1"/>
    <x:xf numFmtId="0" fontId="15" fillId="10" borderId="19" xfId="0" applyNumberFormat="1" applyFont="1" applyFill="1" applyBorder="1" applyAlignment="1">
      <x:alignment wrapText="1"/>
    </x:xf>
    <x:xf numFmtId="0" fontId="15" fillId="10" borderId="20" xfId="0" applyNumberFormat="1" applyFont="1" applyFill="1" applyBorder="1" applyAlignment="1">
      <x:alignment wrapText="1"/>
    </x:xf>
    <x:xf numFmtId="0" fontId="15" fillId="10" borderId="21" xfId="0" applyNumberFormat="1" applyFont="1" applyFill="1" applyBorder="1" applyAlignment="1">
      <x:alignment wrapText="1"/>
    </x:xf>
    <x:xf numFmtId="0" fontId="15" fillId="10" borderId="22" xfId="0" applyNumberFormat="1" applyFont="1" applyFill="1" applyBorder="1" applyAlignment="1">
      <x:alignment wrapText="1"/>
    </x:xf>
    <x:xf numFmtId="0" fontId="15" fillId="10" borderId="0" xfId="0" applyNumberFormat="1" applyFont="1" applyFill="1" applyBorder="1" applyAlignment="1">
      <x:alignment wrapText="1"/>
    </x:xf>
    <x:xf numFmtId="0" fontId="15" fillId="10" borderId="23" xfId="0" applyNumberFormat="1" applyFont="1" applyFill="1" applyBorder="1" applyAlignment="1">
      <x:alignment wrapText="1"/>
    </x:xf>
    <x:xf numFmtId="0" fontId="15" fillId="10" borderId="24" xfId="0" applyNumberFormat="1" applyFont="1" applyFill="1" applyBorder="1" applyAlignment="1">
      <x:alignment wrapText="1"/>
    </x:xf>
    <x:xf numFmtId="0" fontId="15" fillId="10" borderId="25" xfId="0" applyNumberFormat="1" applyFont="1" applyFill="1" applyBorder="1" applyAlignment="1">
      <x:alignment wrapText="1"/>
    </x:xf>
    <x:xf numFmtId="0" fontId="15" fillId="10" borderId="26" xfId="0" applyNumberFormat="1" applyFont="1" applyFill="1" applyBorder="1" applyAlignment="1">
      <x:alignment wrapText="1"/>
    </x:xf>
    <x:xf numFmtId="0" fontId="15" fillId="10" borderId="19" xfId="0" applyNumberFormat="1" applyFont="1" applyFill="1" applyBorder="1" applyAlignment="1">
      <x:alignment vertical="top" wrapText="1"/>
    </x:xf>
    <x:xf numFmtId="0" fontId="15" fillId="10" borderId="20" xfId="0" applyNumberFormat="1" applyFont="1" applyFill="1" applyBorder="1" applyAlignment="1">
      <x:alignment vertical="top" wrapText="1"/>
    </x:xf>
    <x:xf numFmtId="0" fontId="15" fillId="10" borderId="21" xfId="0" applyNumberFormat="1" applyFont="1" applyFill="1" applyBorder="1" applyAlignment="1">
      <x:alignment vertical="top" wrapText="1"/>
    </x:xf>
    <x:xf numFmtId="0" fontId="15" fillId="10" borderId="22" xfId="0" applyNumberFormat="1" applyFont="1" applyFill="1" applyBorder="1" applyAlignment="1">
      <x:alignment vertical="top" wrapText="1"/>
    </x:xf>
    <x:xf numFmtId="0" fontId="15" fillId="10" borderId="0" xfId="0" applyNumberFormat="1" applyFont="1" applyFill="1" applyBorder="1" applyAlignment="1">
      <x:alignment vertical="top" wrapText="1"/>
    </x:xf>
    <x:xf numFmtId="0" fontId="15" fillId="10" borderId="23" xfId="0" applyNumberFormat="1" applyFont="1" applyFill="1" applyBorder="1" applyAlignment="1">
      <x:alignment vertical="top" wrapText="1"/>
    </x:xf>
    <x:xf numFmtId="0" fontId="15" fillId="10" borderId="24" xfId="0" applyNumberFormat="1" applyFont="1" applyFill="1" applyBorder="1" applyAlignment="1">
      <x:alignment vertical="top" wrapText="1"/>
    </x:xf>
    <x:xf numFmtId="0" fontId="15" fillId="10" borderId="25" xfId="0" applyNumberFormat="1" applyFont="1" applyFill="1" applyBorder="1" applyAlignment="1">
      <x:alignment vertical="top" wrapText="1"/>
    </x:xf>
    <x:xf numFmtId="0" fontId="15" fillId="10" borderId="26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6" xfId="0" applyNumberFormat="1" applyFont="1" applyFill="1" applyBorder="1" applyAlignment="1">
      <x:alignment horizontal="center" vertical="top" wrapText="1"/>
    </x:xf>
    <x:xf numFmtId="0" fontId="0" fillId="0" borderId="17" xfId="0" applyNumberFormat="1" applyFont="1" applyFill="1" applyBorder="1" applyAlignment="1">
      <x:alignment horizontal="center" vertical="top" wrapText="1"/>
    </x:xf>
    <x:xf numFmtId="0" fontId="0" fillId="0" borderId="18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8">
    <x:dxf>
      <x:font>
        <x:b/>
        <x:color rgb="FFB42318"/>
      </x:font>
      <x:fill>
        <x:patternFill patternType="solid">
          <x:bgColor rgb="FFFEE2E2"/>
        </x:patternFill>
      </x:fill>
    </x:dxf>
    <x:dxf>
      <x:font>
        <x:color rgb="FF15803D"/>
      </x:font>
      <x:fill>
        <x:patternFill patternType="solid">
          <x:bgColor rgb="FFDCFCE7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1D4ED8"/>
      </x:font>
      <x:fill>
        <x:patternFill patternType="solid">
          <x:bgColor rgb="FFDBEAFE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  <x:dxf>
      <x:font>
        <x:b/>
        <x:color rgb="FF475569"/>
      </x:font>
      <x:fill>
        <x:patternFill patternType="solid">
          <x:bgColor rgb="FFE2E8F0"/>
        </x:patternFill>
      </x:fill>
    </x:dxf>
    <x:dxf>
      <x:font>
        <x:b/>
        <x:color rgb="FF6D28D9"/>
      </x:font>
      <x:fill>
        <x:patternFill patternType="solid">
          <x:bgColor rgb="FFEDE9FE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a21cd5c4814b2c" /><Relationship Type="http://schemas.openxmlformats.org/officeDocument/2006/relationships/theme" Target="/xl/theme/theme1.xml" Id="Rc943e1d0856044af" /><Relationship Type="http://schemas.openxmlformats.org/officeDocument/2006/relationships/sharedStrings" Target="/xl/sharedStrings.xml" Id="R59df62bc1b544122" /><Relationship Type="http://schemas.openxmlformats.org/officeDocument/2006/relationships/worksheet" Target="/xl/worksheets/sheet1.xml" Id="R6c34a7ffdf41454c" /><Relationship Type="http://schemas.openxmlformats.org/officeDocument/2006/relationships/worksheet" Target="/xl/worksheets/sheet2.xml" Id="Rdad6210ed876424a" /><Relationship Type="http://schemas.openxmlformats.org/officeDocument/2006/relationships/worksheet" Target="/xl/worksheets/sheet3.xml" Id="R24af8f669f244f94" /><Relationship Type="http://schemas.openxmlformats.org/officeDocument/2006/relationships/worksheet" Target="/xl/worksheets/sheet4.xml" Id="R2aca1a5b963f487b" /></Relationships>
</file>

<file path=xl/tables/table1.xml><?xml version="1.0" encoding="utf-8"?>
<x:table xmlns:x="http://schemas.openxmlformats.org/spreadsheetml/2006/main" id="1" name="SameVersionReviewTable" displayName="SameVersionReviewTable" ref="A5:N19" headerRowCount="1" totalsRowCount="0" totalsRowShown="0">
  <x:tableColumns count="14">
    <x:tableColumn id="1" name="Group"/>
    <x:tableColumn id="2" name="Row role"/>
    <x:tableColumn id="3" name="File name"/>
    <x:tableColumn id="4" name="Reported AD"/>
    <x:tableColumn id="5" name="Verified AD"/>
    <x:tableColumn id="6" name="AD correction required"/>
    <x:tableColumn id="7" name="Header Date / Issued"/>
    <x:tableColumn id="8" name="Verified subject"/>
    <x:tableColumn id="9" name="Relationship to paired file"/>
    <x:tableColumn id="10" name="Source PDF"/>
    <x:tableColumn id="11" name="Conflict verdict"/>
    <x:tableColumn id="12" name="Keep PDF"/>
    <x:tableColumn id="13" name="Manual status"/>
    <x:tableColumn id="14" name="Manifest ac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NearDuplicateReviewTable" displayName="NearDuplicateReviewTable" ref="A5:P22" headerRowCount="1" totalsRowCount="0" totalsRowShown="0">
  <x:tableColumns count="16">
    <x:tableColumn id="1" name="Pair"/>
    <x:tableColumn id="2" name="AD A"/>
    <x:tableColumn id="3" name="Date / Issued A"/>
    <x:tableColumn id="4" name="AD B"/>
    <x:tableColumn id="5" name="Date / Issued B"/>
    <x:tableColumn id="6" name="Text similarity"/>
    <x:tableColumn id="7" name="Final classification"/>
    <x:tableColumn id="8" name="Relationship evidence"/>
    <x:tableColumn id="9" name="Material difference"/>
    <x:tableColumn id="10" name="Keep both"/>
    <x:tableColumn id="11" name="True duplicate"/>
    <x:tableColumn id="12" name="Direct graph edge"/>
    <x:tableColumn id="13" name="Manually verified"/>
    <x:tableColumn id="14" name="PDF A"/>
    <x:tableColumn id="15" name="PDF B"/>
    <x:tableColumn id="16" name="Reviewer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5346dac1bfa4e5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b8bfcde0e7d49c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6" hidden="0" customWidth="1"/>
    <x:col min="3" max="3" width="20" hidden="0" customWidth="1"/>
    <x:col min="4" max="4" width="28" hidden="0" customWidth="1"/>
    <x:col min="5" max="5" width="14" hidden="0" customWidth="1"/>
    <x:col min="6" max="6" width="4" hidden="0" customWidth="1"/>
    <x:col min="7" max="7" width="24" hidden="0" customWidth="1"/>
    <x:col min="8" max="8" width="24" hidden="0" customWidth="1"/>
  </x:cols>
  <x:sheetData>
    <x:row r="1" ht="32" customHeight="1">
      <x:c r="A1" s="3" t="str">
        <x:v>Airbus EASA AD duplicate review — document-level verdicts</x:v>
      </x:c>
      <x:c r="B1" s="3"/>
      <x:c r="C1" s="3"/>
      <x:c r="D1" s="3"/>
      <x:c r="E1" s="3"/>
      <x:c r="F1" s="3"/>
      <x:c r="G1" s="3"/>
      <x:c r="H1" s="3"/>
    </x:row>
    <x:row r="2" ht="30" customHeight="1">
      <x:c r="A2" s="7" t="str">
        <x:v>Manual review of 14 same-version conflict rows and 17 near-duplicate pairs. Source PDFs were checked for their own header number, Date/Issued field, subject/applicability, and explicit Supersedure/Revision wording. Google Drive source data was not modified.</x:v>
      </x:c>
      <x:c r="B2" s="7"/>
      <x:c r="C2" s="7"/>
      <x:c r="D2" s="7"/>
      <x:c r="E2" s="7"/>
      <x:c r="F2" s="7"/>
      <x:c r="G2" s="7"/>
      <x:c r="H2" s="7"/>
    </x:row>
    <x:row r="3">
      <x:c r="A3" s="79"/>
      <x:c r="B3" s="79"/>
      <x:c r="C3" s="79"/>
      <x:c r="D3" s="79"/>
      <x:c r="E3" s="79"/>
      <x:c r="F3" s="79"/>
      <x:c r="G3" s="79"/>
      <x:c r="H3" s="79"/>
    </x:row>
    <x:row r="4">
      <x:c r="A4" s="10" t="str">
        <x:v>Corpus review outcome</x:v>
      </x:c>
      <x:c r="B4" s="10"/>
      <x:c r="C4" s="79"/>
      <x:c r="D4" s="10" t="str">
        <x:v>Near-pair classification</x:v>
      </x:c>
      <x:c r="E4" s="10"/>
      <x:c r="F4" s="79"/>
      <x:c r="G4" s="10" t="str">
        <x:v>Bottom line</x:v>
      </x:c>
      <x:c r="H4" s="10"/>
    </x:row>
    <x:row r="5">
      <x:c r="A5" s="80" t="str">
        <x:v>Conflict document rows</x:v>
      </x:c>
      <x:c r="B5" s="81" t="n">
        <x:f>COUNTA('Same-Version Review'!$A$6:$A$19)</x:f>
        <x:v>14</x:v>
      </x:c>
      <x:c r="C5" s="79"/>
      <x:c r="D5" s="80" t="str">
        <x:v>Explicit direct supersedure</x:v>
      </x:c>
      <x:c r="E5" s="81" t="n">
        <x:f>COUNTIF('Near-Duplicate Review'!$G$6:$G$22,"Direct supersedure / reissue")</x:f>
        <x:v>13</x:v>
      </x:c>
      <x:c r="F5" s="79"/>
      <x:c r="G5" s="25" t="str">
        <x:v>No reviewed file is a duplicate to delete.
The 14 conflict rows are seven false groups created by seven wrong AD-number parses.
All 17 similarity pairs are valid historical/parallel relationships; keep both PDFs in every pair.</x:v>
      </x:c>
      <x:c r="H5" s="26"/>
    </x:row>
    <x:row r="6">
      <x:c r="A6" s="82" t="str">
        <x:v>Actual conflict groups</x:v>
      </x:c>
      <x:c r="B6" s="83" t="n">
        <x:f>B5/2</x:f>
        <x:v>7</x:v>
      </x:c>
      <x:c r="C6" s="79"/>
      <x:c r="D6" s="82" t="str">
        <x:v>Successor via revised reissue</x:v>
      </x:c>
      <x:c r="E6" s="83" t="n">
        <x:f>COUNTIF('Near-Duplicate Review'!$G$6:$G$22,"Successor via revised reissue")</x:f>
        <x:v>1</x:v>
      </x:c>
      <x:c r="F6" s="79"/>
      <x:c r="G6" s="27"/>
      <x:c r="H6" s="28"/>
    </x:row>
    <x:row r="7">
      <x:c r="A7" s="82" t="str">
        <x:v>AD-number corrections</x:v>
      </x:c>
      <x:c r="B7" s="83" t="n">
        <x:f>COUNTIF('Same-Version Review'!$F$6:$F$19,"Yes")</x:f>
        <x:v>7</x:v>
      </x:c>
      <x:c r="C7" s="79"/>
      <x:c r="D7" s="82" t="str">
        <x:v>Transitive lineage</x:v>
      </x:c>
      <x:c r="E7" s="83" t="n">
        <x:f>COUNTIF('Near-Duplicate Review'!$G$6:$G$22,"Transitive lineage (two-hop)")</x:f>
        <x:v>1</x:v>
      </x:c>
      <x:c r="F7" s="79"/>
      <x:c r="G7" s="27"/>
      <x:c r="H7" s="28"/>
    </x:row>
    <x:row r="8">
      <x:c r="A8" s="82" t="str">
        <x:v>Near pairs reviewed</x:v>
      </x:c>
      <x:c r="B8" s="83" t="n">
        <x:f>COUNTA('Near-Duplicate Review'!$A$6:$A$22)</x:f>
        <x:v>17</x:v>
      </x:c>
      <x:c r="C8" s="79"/>
      <x:c r="D8" s="82" t="str">
        <x:v>Companion / parallel</x:v>
      </x:c>
      <x:c r="E8" s="83" t="n">
        <x:f>COUNTIF('Near-Duplicate Review'!$G$6:$G$22,"Companion / parallel AD")</x:f>
        <x:v>2</x:v>
      </x:c>
      <x:c r="F8" s="79"/>
      <x:c r="G8" s="27"/>
      <x:c r="H8" s="28"/>
    </x:row>
    <x:row r="9">
      <x:c r="A9" s="82" t="str">
        <x:v>True duplicate pairs</x:v>
      </x:c>
      <x:c r="B9" s="83" t="n">
        <x:f>COUNTIF('Near-Duplicate Review'!$K$6:$K$22,"Yes")</x:f>
        <x:v>0</x:v>
      </x:c>
      <x:c r="C9" s="79"/>
      <x:c r="D9" s="84" t="str">
        <x:v>Keep-both decisions</x:v>
      </x:c>
      <x:c r="E9" s="85" t="n">
        <x:f>COUNTIF('Near-Duplicate Review'!$J$6:$J$22,"Yes")</x:f>
        <x:v>17</x:v>
      </x:c>
      <x:c r="F9" s="79"/>
      <x:c r="G9" s="27"/>
      <x:c r="H9" s="28"/>
    </x:row>
    <x:row r="10">
      <x:c r="A10" s="84" t="str">
        <x:v>Recommended deletions</x:v>
      </x:c>
      <x:c r="B10" s="85" t="n">
        <x:f>B9</x:f>
        <x:v>0</x:v>
      </x:c>
      <x:c r="C10" s="79"/>
      <x:c r="D10" s="79"/>
      <x:c r="E10" s="79"/>
      <x:c r="F10" s="79"/>
      <x:c r="G10" s="29"/>
      <x:c r="H10" s="30"/>
    </x:row>
    <x:row r="11">
      <x:c r="A11" s="79"/>
      <x:c r="B11" s="79"/>
      <x:c r="C11" s="79"/>
      <x:c r="D11" s="79"/>
      <x:c r="E11" s="79"/>
      <x:c r="F11" s="79"/>
      <x:c r="G11" s="79"/>
      <x:c r="H11" s="79"/>
    </x:row>
    <x:row r="12" ht="34" customHeight="1">
      <x:c r="A12" s="56" t="str">
        <x:v>Decision area</x:v>
      </x:c>
      <x:c r="B12" s="57" t="str">
        <x:v>Final result</x:v>
      </x:c>
      <x:c r="C12" s="57" t="str">
        <x:v>Reason</x:v>
      </x:c>
      <x:c r="D12" s="57"/>
      <x:c r="E12" s="57"/>
      <x:c r="F12" s="57"/>
      <x:c r="G12" s="57"/>
      <x:c r="H12" s="58"/>
    </x:row>
    <x:row r="13" ht="42" customHeight="1">
      <x:c r="A13" s="86" t="str">
        <x:v>Same-version conflicts</x:v>
      </x:c>
      <x:c r="B13" s="87" t="str">
        <x:v>False conflicts</x:v>
      </x:c>
      <x:c r="C13" s="88" t="str">
        <x:v>Seven legacy successor/follow-on PDFs were assigned an older referenced AD number; the paired PDFs are distinct and all must remain.</x:v>
      </x:c>
      <x:c r="D13" s="88"/>
      <x:c r="E13" s="88"/>
      <x:c r="F13" s="88"/>
      <x:c r="G13" s="88"/>
      <x:c r="H13" s="88"/>
    </x:row>
    <x:row r="14" ht="42" customHeight="1">
      <x:c r="A14" s="89" t="str">
        <x:v>Near-duplicate pairs</x:v>
      </x:c>
      <x:c r="B14" s="90" t="str">
        <x:v>Keep all 17 pairs</x:v>
      </x:c>
      <x:c r="C14" s="91" t="str">
        <x:v>Thirteen are explicit direct supersedures, one is a revised-successor lineage, one is transitive, and two are companion ADs.</x:v>
      </x:c>
      <x:c r="D14" s="91"/>
      <x:c r="E14" s="91"/>
      <x:c r="F14" s="91"/>
      <x:c r="G14" s="91"/>
      <x:c r="H14" s="91"/>
    </x:row>
    <x:row r="15" ht="42" customHeight="1">
      <x:c r="A15" s="89" t="str">
        <x:v>Supersedure graph</x:v>
      </x:c>
      <x:c r="B15" s="90" t="str">
        <x:v>Use only supported edges</x:v>
      </x:c>
      <x:c r="C15" s="91" t="str">
        <x:v>Do not turn companion or transitive similarity pairs into direct links. Preserve the two direct galley edges and exclude the two-hop shortcut.</x:v>
      </x:c>
      <x:c r="D15" s="91"/>
      <x:c r="E15" s="91"/>
      <x:c r="F15" s="91"/>
      <x:c r="G15" s="91"/>
      <x:c r="H15" s="91"/>
    </x:row>
    <x:row r="16" ht="42" customHeight="1">
      <x:c r="A16" s="89" t="str">
        <x:v>Drive/corpus state</x:v>
      </x:c>
      <x:c r="B16" s="90" t="str">
        <x:v>Read-only</x:v>
      </x:c>
      <x:c r="C16" s="91" t="str">
        <x:v>This workbook records the review. It does not rewrite the manifest, reports, or source PDFs.</x:v>
      </x:c>
      <x:c r="D16" s="91"/>
      <x:c r="E16" s="91"/>
      <x:c r="F16" s="91"/>
      <x:c r="G16" s="91"/>
      <x:c r="H16" s="91"/>
    </x:row>
    <x:row r="17">
      <x:c r="A17" s="79"/>
      <x:c r="B17" s="79"/>
      <x:c r="C17" s="79"/>
      <x:c r="D17" s="79"/>
      <x:c r="E17" s="79"/>
      <x:c r="F17" s="79"/>
      <x:c r="G17" s="79"/>
      <x:c r="H17" s="79"/>
    </x:row>
    <x:row r="18">
      <x:c r="A18" s="92" t="str">
        <x:v>Sources and review method</x:v>
      </x:c>
      <x:c r="B18" s="92"/>
      <x:c r="C18" s="92"/>
      <x:c r="D18" s="92"/>
      <x:c r="E18" s="92"/>
      <x:c r="F18" s="92"/>
      <x:c r="G18" s="92"/>
      <x:c r="H18" s="92"/>
    </x:row>
    <x:row r="19">
      <x:c r="A19" s="93" t="str">
        <x:v>duplicate_review.csv</x:v>
      </x:c>
      <x:c r="B19" s="94" t="str">
        <x:v>https://drive.google.com/file/d/1z1r-hEAkjCFubLF50aMTVOZvCBvk_3XA/view</x:v>
      </x:c>
      <x:c r="C19" s="94"/>
      <x:c r="D19" s="94"/>
      <x:c r="E19" s="94"/>
      <x:c r="F19" s="94"/>
      <x:c r="G19" s="94"/>
      <x:c r="H19" s="94"/>
    </x:row>
    <x:row r="20">
      <x:c r="A20" s="95" t="str">
        <x:v>near_duplicate_candidates.csv</x:v>
      </x:c>
      <x:c r="B20" s="96" t="str">
        <x:v>https://drive.google.com/file/d/1aj_dJW6iXB7DOy6x1F67scXT5VoEyBa-/view</x:v>
      </x:c>
      <x:c r="C20" s="96"/>
      <x:c r="D20" s="96"/>
      <x:c r="E20" s="96"/>
      <x:c r="F20" s="96"/>
      <x:c r="G20" s="96"/>
      <x:c r="H20" s="96"/>
    </x:row>
    <x:row r="21">
      <x:c r="A21" s="95" t="str">
        <x:v>corpus_manifest.csv</x:v>
      </x:c>
      <x:c r="B21" s="96" t="str">
        <x:v>https://drive.google.com/file/d/1ggUgqy7oxWmbU2yjvmp55qKSvLI_XI2Q/view</x:v>
      </x:c>
      <x:c r="C21" s="96"/>
      <x:c r="D21" s="96"/>
      <x:c r="E21" s="96"/>
      <x:c r="F21" s="96"/>
      <x:c r="G21" s="96"/>
      <x:c r="H21" s="96"/>
    </x:row>
    <x:row r="22">
      <x:c r="A22" s="97" t="str">
        <x:v>supersedure_links.csv</x:v>
      </x:c>
      <x:c r="B22" s="98" t="str">
        <x:v>https://drive.google.com/file/d/1u_zoGCCvVbPvTNHq3d9SCQuxTfF71ccF/view</x:v>
      </x:c>
      <x:c r="C22" s="98"/>
      <x:c r="D22" s="98"/>
      <x:c r="E22" s="98"/>
      <x:c r="F22" s="98"/>
      <x:c r="G22" s="98"/>
      <x:c r="H22" s="98"/>
    </x:row>
  </x:sheetData>
  <x:mergeCells>
    <x:mergeCell ref="A1:H1"/>
    <x:mergeCell ref="A2:H2"/>
    <x:mergeCell ref="A4:B4"/>
    <x:mergeCell ref="D4:E4"/>
    <x:mergeCell ref="G4:H4"/>
    <x:mergeCell ref="G5:H10"/>
    <x:mergeCell ref="C12:H12"/>
    <x:mergeCell ref="C13:H13"/>
    <x:mergeCell ref="C14:H14"/>
    <x:mergeCell ref="C15:H15"/>
    <x:mergeCell ref="C16:H16"/>
    <x:mergeCell ref="A18:H18"/>
    <x:mergeCell ref="B19:H19"/>
    <x:mergeCell ref="B20:H20"/>
    <x:mergeCell ref="B21:H21"/>
    <x:mergeCell ref="B22:H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4" hidden="0" customWidth="1"/>
    <x:col min="3" max="3" width="5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46" hidden="0" customWidth="1"/>
    <x:col min="9" max="9" width="50" hidden="0" customWidth="1"/>
    <x:col min="10" max="10" width="30" hidden="0" customWidth="1"/>
    <x:col min="11" max="11" width="16" hidden="0" customWidth="1"/>
    <x:col min="12" max="12" width="10" hidden="0" customWidth="1"/>
    <x:col min="13" max="13" width="14" hidden="0" customWidth="1"/>
    <x:col min="14" max="14" width="52" hidden="0" customWidth="1"/>
  </x:cols>
  <x:sheetData>
    <x:row r="1" ht="32" customHeight="1">
      <x:c r="A1" s="3" t="str">
        <x:v>Same-version conflict review — 14 rows / 7 false groups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0" customHeight="1">
      <x:c r="A2" s="7" t="str">
        <x:v>Every row was checked against the source PDF. The seven newer/follow-on files have a correct own header but were assigned an older body-reference number by the parser.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>
      <x:c r="A4" s="101" t="str">
        <x:v>Action rule: retain every PDF; correct only the seven rows marked Yes in AD correction required; then rebuild family/version/conflict fields from cached text.</x:v>
      </x:c>
      <x:c r="B4" s="101"/>
      <x:c r="C4" s="101"/>
      <x:c r="D4" s="101"/>
      <x:c r="E4" s="101"/>
      <x:c r="F4" s="101"/>
      <x:c r="G4" s="101"/>
      <x:c r="H4" s="101"/>
      <x:c r="I4" s="101"/>
      <x:c r="J4" s="101"/>
      <x:c r="K4" s="101"/>
      <x:c r="L4" s="101"/>
      <x:c r="M4" s="101"/>
      <x:c r="N4" s="101"/>
    </x:row>
    <x:row r="5" ht="34" customHeight="1">
      <x:c r="A5" s="56" t="str">
        <x:v>Group</x:v>
      </x:c>
      <x:c r="B5" s="57" t="str">
        <x:v>Row role</x:v>
      </x:c>
      <x:c r="C5" s="57" t="str">
        <x:v>File name</x:v>
      </x:c>
      <x:c r="D5" s="57" t="str">
        <x:v>Reported AD</x:v>
      </x:c>
      <x:c r="E5" s="57" t="str">
        <x:v>Verified AD</x:v>
      </x:c>
      <x:c r="F5" s="57" t="str">
        <x:v>AD correction required</x:v>
      </x:c>
      <x:c r="G5" s="57" t="str">
        <x:v>Header Date / Issued</x:v>
      </x:c>
      <x:c r="H5" s="57" t="str">
        <x:v>Verified subject</x:v>
      </x:c>
      <x:c r="I5" s="57" t="str">
        <x:v>Relationship to paired file</x:v>
      </x:c>
      <x:c r="J5" s="57" t="str">
        <x:v>Source PDF</x:v>
      </x:c>
      <x:c r="K5" s="57" t="str">
        <x:v>Conflict verdict</x:v>
      </x:c>
      <x:c r="L5" s="57" t="str">
        <x:v>Keep PDF</x:v>
      </x:c>
      <x:c r="M5" s="57" t="str">
        <x:v>Manual status</x:v>
      </x:c>
      <x:c r="N5" s="58" t="str">
        <x:v>Manifest action</x:v>
      </x:c>
    </x:row>
    <x:row r="6" ht="64" customHeight="1">
      <x:c r="A6" s="112" t="n">
        <x:v>1</x:v>
      </x:c>
      <x:c r="B6" s="113" t="str">
        <x:v>Correctly parsed predecessor</x:v>
      </x:c>
      <x:c r="C6" s="113" t="str">
        <x:v>2006-0047__AD_2006-0047_1__easa_ad_2006_0047_superseded.pdf</x:v>
      </x:c>
      <x:c r="D6" s="112" t="str">
        <x:v>2006-0047</x:v>
      </x:c>
      <x:c r="E6" s="112" t="str">
        <x:v>2006-0047</x:v>
      </x:c>
      <x:c r="F6" s="112" t="str">
        <x:v>No</x:v>
      </x:c>
      <x:c r="G6" s="114" t="n">
        <x:v>38764</x:v>
      </x:c>
      <x:c r="H6" s="113" t="str">
        <x:v>ATA 25 — A330 cockpit instrument-panel bracket; inspection and reinforced-bracket replacement.</x:v>
      </x:c>
      <x:c r="I6" s="113" t="str">
        <x:v>Predecessor; directly superseded by 2007-0281.</x:v>
      </x:c>
      <x:c r="J6" s="115" t="str">
        <x:v>https://drive.google.com/file/d/1lsYmN76qO3hTX21_FVvYH3PHHxK0pHkb</x:v>
      </x:c>
      <x:c r="K6" s="112" t="str">
        <x:v>False conflict</x:v>
      </x:c>
      <x:c r="L6" s="112" t="str">
        <x:v>Yes</x:v>
      </x:c>
      <x:c r="M6" s="112" t="str">
        <x:v>Verified</x:v>
      </x:c>
      <x:c r="N6" s="113" t="str">
        <x:v>No AD-number change. Clear the conflict flag after the paired row is corrected and groups are rebuilt.</x:v>
      </x:c>
    </x:row>
    <x:row r="7" ht="64" customHeight="1">
      <x:c r="A7" s="116" t="n">
        <x:v>1</x:v>
      </x:c>
      <x:c r="B7" s="117" t="str">
        <x:v>Misparsed successor</x:v>
      </x:c>
      <x:c r="C7" s="117" t="str">
        <x:v>2007-0281__AD_2007-0281_1__easa_ad_2007_0281.pdf</x:v>
      </x:c>
      <x:c r="D7" s="116" t="str">
        <x:v>2006-0047</x:v>
      </x:c>
      <x:c r="E7" s="116" t="str">
        <x:v>2007-0281</x:v>
      </x:c>
      <x:c r="F7" s="116" t="str">
        <x:v>Yes</x:v>
      </x:c>
      <x:c r="G7" s="118" t="n">
        <x:v>39392</x:v>
      </x:c>
      <x:c r="H7" s="117" t="str">
        <x:v>ATA 25 — same bracket; correct fastener torque values for the titanium replacement bracket.</x:v>
      </x:c>
      <x:c r="I7" s="117" t="str">
        <x:v>Direct successor. Header says: This AD supersedes EASA AD 2006-0047.</x:v>
      </x:c>
      <x:c r="J7" s="119" t="str">
        <x:v>https://drive.google.com/file/d/1y-bfXX1U57QalgC6Q-uV3aGaT1l_lgLg</x:v>
      </x:c>
      <x:c r="K7" s="116" t="str">
        <x:v>False conflict</x:v>
      </x:c>
      <x:c r="L7" s="116" t="str">
        <x:v>Yes</x:v>
      </x:c>
      <x:c r="M7" s="116" t="str">
        <x:v>Verified</x:v>
      </x:c>
      <x:c r="N7" s="117" t="str">
        <x:v>Set AD/base number to 2007-0281; rebuild logical-version, family, inverse-link, and conflict fields.</x:v>
      </x:c>
    </x:row>
    <x:row r="8" ht="64" customHeight="1">
      <x:c r="A8" s="116" t="n">
        <x:v>2</x:v>
      </x:c>
      <x:c r="B8" s="117" t="str">
        <x:v>Correctly parsed predecessor</x:v>
      </x:c>
      <x:c r="C8" s="117" t="str">
        <x:v>2006-0107__AD_2006-0107_1__easa_ad_2006_0107_superseded.pdf</x:v>
      </x:c>
      <x:c r="D8" s="116" t="str">
        <x:v>2006-0107</x:v>
      </x:c>
      <x:c r="E8" s="116" t="str">
        <x:v>2006-0107</x:v>
      </x:c>
      <x:c r="F8" s="116" t="str">
        <x:v>No</x:v>
      </x:c>
      <x:c r="G8" s="118" t="n">
        <x:v>38849</x:v>
      </x:c>
      <x:c r="H8" s="117" t="str">
        <x:v>ATA 57 — A330/A340 wing shroud-box bottom panel; one-time detailed inspection.</x:v>
      </x:c>
      <x:c r="I8" s="117" t="str">
        <x:v>Predecessor; directly superseded by 2008-0002.</x:v>
      </x:c>
      <x:c r="J8" s="119" t="str">
        <x:v>https://drive.google.com/file/d/1m4_OCU1bojGgfL_uMg72zwDy1rHivtD-</x:v>
      </x:c>
      <x:c r="K8" s="116" t="str">
        <x:v>False conflict</x:v>
      </x:c>
      <x:c r="L8" s="116" t="str">
        <x:v>Yes</x:v>
      </x:c>
      <x:c r="M8" s="116" t="str">
        <x:v>Verified</x:v>
      </x:c>
      <x:c r="N8" s="117" t="str">
        <x:v>No AD-number change. Clear the conflict flag after the paired row is corrected and groups are rebuilt.</x:v>
      </x:c>
    </x:row>
    <x:row r="9" ht="64" customHeight="1">
      <x:c r="A9" s="116" t="n">
        <x:v>2</x:v>
      </x:c>
      <x:c r="B9" s="117" t="str">
        <x:v>Misparsed successor</x:v>
      </x:c>
      <x:c r="C9" s="117" t="str">
        <x:v>2008-0002__AD_2008-0002_1__easa_ad_2008_0002.pdf</x:v>
      </x:c>
      <x:c r="D9" s="116" t="str">
        <x:v>2006-0107</x:v>
      </x:c>
      <x:c r="E9" s="116" t="str">
        <x:v>2008-0002</x:v>
      </x:c>
      <x:c r="F9" s="116" t="str">
        <x:v>Yes</x:v>
      </x:c>
      <x:c r="G9" s="118" t="n">
        <x:v>39454</x:v>
      </x:c>
      <x:c r="H9" s="117" t="str">
        <x:v>ATA 57 — bolted shroud-box bottom-panel modification replacing the inspection-only action.</x:v>
      </x:c>
      <x:c r="I9" s="117" t="str">
        <x:v>Direct successor. Supersedure field names EASA AD 2006-0107.</x:v>
      </x:c>
      <x:c r="J9" s="119" t="str">
        <x:v>https://drive.google.com/file/d/1_genvoVVMtPF6E74FqOSTAz_j3o3oQT1</x:v>
      </x:c>
      <x:c r="K9" s="116" t="str">
        <x:v>False conflict</x:v>
      </x:c>
      <x:c r="L9" s="116" t="str">
        <x:v>Yes</x:v>
      </x:c>
      <x:c r="M9" s="116" t="str">
        <x:v>Verified</x:v>
      </x:c>
      <x:c r="N9" s="117" t="str">
        <x:v>Set AD/base number to 2008-0002; rebuild logical-version, family, inverse-link, and conflict fields.</x:v>
      </x:c>
    </x:row>
    <x:row r="10" ht="64" customHeight="1">
      <x:c r="A10" s="116" t="n">
        <x:v>3</x:v>
      </x:c>
      <x:c r="B10" s="117" t="str">
        <x:v>Correctly parsed predecessor</x:v>
      </x:c>
      <x:c r="C10" s="117" t="str">
        <x:v>2006-0108__AD_2006-0108_1__easa_ad_2006_0108_superseded.pdf</x:v>
      </x:c>
      <x:c r="D10" s="116" t="str">
        <x:v>2006-0108</x:v>
      </x:c>
      <x:c r="E10" s="116" t="str">
        <x:v>2006-0108</x:v>
      </x:c>
      <x:c r="F10" s="116" t="str">
        <x:v>No</x:v>
      </x:c>
      <x:c r="G10" s="118" t="n">
        <x:v>38840</x:v>
      </x:c>
      <x:c r="H10" s="117" t="str">
        <x:v>ATA 31 — EIS2/TCAS display operational limitations.</x:v>
      </x:c>
      <x:c r="I10" s="117" t="str">
        <x:v>Predecessor; directly superseded by 2008-0032.</x:v>
      </x:c>
      <x:c r="J10" s="119" t="str">
        <x:v>https://drive.google.com/file/d/1M_yQnZ6gLp4fZhSs3O6M0Uht1sQDvauB</x:v>
      </x:c>
      <x:c r="K10" s="116" t="str">
        <x:v>False conflict</x:v>
      </x:c>
      <x:c r="L10" s="116" t="str">
        <x:v>Yes</x:v>
      </x:c>
      <x:c r="M10" s="116" t="str">
        <x:v>Verified</x:v>
      </x:c>
      <x:c r="N10" s="117" t="str">
        <x:v>No AD-number change. Clear the conflict flag after the paired row is corrected and groups are rebuilt.</x:v>
      </x:c>
    </x:row>
    <x:row r="11" ht="64" customHeight="1">
      <x:c r="A11" s="116" t="n">
        <x:v>3</x:v>
      </x:c>
      <x:c r="B11" s="117" t="str">
        <x:v>Misparsed successor</x:v>
      </x:c>
      <x:c r="C11" s="117" t="str">
        <x:v>2008-0032__AD_2008-0032_1__easa_ad_2008_0032.pdf</x:v>
      </x:c>
      <x:c r="D11" s="116" t="str">
        <x:v>2006-0108</x:v>
      </x:c>
      <x:c r="E11" s="116" t="str">
        <x:v>2008-0032</x:v>
      </x:c>
      <x:c r="F11" s="116" t="str">
        <x:v>Yes</x:v>
      </x:c>
      <x:c r="G11" s="118" t="n">
        <x:v>39499</x:v>
      </x:c>
      <x:c r="H11" s="117" t="str">
        <x:v>ATA 31 — installation of improved EIS2 software standard S7.</x:v>
      </x:c>
      <x:c r="I11" s="117" t="str">
        <x:v>Direct successor. Supersedure field names EASA AD 2006-0108.</x:v>
      </x:c>
      <x:c r="J11" s="119" t="str">
        <x:v>https://drive.google.com/file/d/1M2cKUjR6HXAEaCerw5wztI_feHDmNAeW</x:v>
      </x:c>
      <x:c r="K11" s="116" t="str">
        <x:v>False conflict</x:v>
      </x:c>
      <x:c r="L11" s="116" t="str">
        <x:v>Yes</x:v>
      </x:c>
      <x:c r="M11" s="116" t="str">
        <x:v>Verified</x:v>
      </x:c>
      <x:c r="N11" s="117" t="str">
        <x:v>Set AD/base number to 2008-0032; rebuild logical-version, family, inverse-link, and conflict fields.</x:v>
      </x:c>
    </x:row>
    <x:row r="12" ht="64" customHeight="1">
      <x:c r="A12" s="116" t="n">
        <x:v>4</x:v>
      </x:c>
      <x:c r="B12" s="117" t="str">
        <x:v>Correctly parsed predecessor</x:v>
      </x:c>
      <x:c r="C12" s="117" t="str">
        <x:v>2006-0129__AD_2006-0129_1__easa_ad_2006_0129_superseded.pdf</x:v>
      </x:c>
      <x:c r="D12" s="116" t="str">
        <x:v>2006-0129</x:v>
      </x:c>
      <x:c r="E12" s="116" t="str">
        <x:v>2006-0129</x:v>
      </x:c>
      <x:c r="F12" s="116" t="str">
        <x:v>No</x:v>
      </x:c>
      <x:c r="G12" s="118" t="n">
        <x:v>38859</x:v>
      </x:c>
      <x:c r="H12" s="117" t="str">
        <x:v>ATA 05 — A330 ALS Part 1 revision 00, safe-life airworthiness limitations.</x:v>
      </x:c>
      <x:c r="I12" s="117" t="str">
        <x:v>Predecessor; one of three ADs directly superseded by 2007-0133.</x:v>
      </x:c>
      <x:c r="J12" s="119" t="str">
        <x:v>https://drive.google.com/file/d/1CYlUybIRcVeDj3FPQV_evjmNxGhhReno</x:v>
      </x:c>
      <x:c r="K12" s="116" t="str">
        <x:v>False conflict</x:v>
      </x:c>
      <x:c r="L12" s="116" t="str">
        <x:v>Yes</x:v>
      </x:c>
      <x:c r="M12" s="116" t="str">
        <x:v>Verified</x:v>
      </x:c>
      <x:c r="N12" s="117" t="str">
        <x:v>No AD-number change. Clear the conflict flag after the paired row is corrected and groups are rebuilt.</x:v>
      </x:c>
    </x:row>
    <x:row r="13" ht="64" customHeight="1">
      <x:c r="A13" s="116" t="n">
        <x:v>4</x:v>
      </x:c>
      <x:c r="B13" s="117" t="str">
        <x:v>Misparsed successor</x:v>
      </x:c>
      <x:c r="C13" s="117" t="str">
        <x:v>2007-0133__AD_2007-0133_1__easa_ad_2007_0133_superseded.pdf</x:v>
      </x:c>
      <x:c r="D13" s="116" t="str">
        <x:v>2006-0129</x:v>
      </x:c>
      <x:c r="E13" s="116" t="str">
        <x:v>2007-0133</x:v>
      </x:c>
      <x:c r="F13" s="116" t="str">
        <x:v>Yes</x:v>
      </x:c>
      <x:c r="G13" s="118" t="n">
        <x:v>39213</x:v>
      </x:c>
      <x:c r="H13" s="117" t="str">
        <x:v>ATA 05 — combined A330/A340 ALS Part 1 revision 01.</x:v>
      </x:c>
      <x:c r="I13" s="117" t="str">
        <x:v>Direct successor. Supersedes 2006-0129, 2006-0130, and 2006-0324-E.</x:v>
      </x:c>
      <x:c r="J13" s="119" t="str">
        <x:v>https://drive.google.com/file/d/1h7kZERuy2HD3B502TJy-l94Ie4WfZzEr</x:v>
      </x:c>
      <x:c r="K13" s="116" t="str">
        <x:v>False conflict</x:v>
      </x:c>
      <x:c r="L13" s="116" t="str">
        <x:v>Yes</x:v>
      </x:c>
      <x:c r="M13" s="116" t="str">
        <x:v>Verified</x:v>
      </x:c>
      <x:c r="N13" s="117" t="str">
        <x:v>Set AD/base number to 2007-0133; rebuild logical-version, family, inverse-link, and conflict fields.</x:v>
      </x:c>
    </x:row>
    <x:row r="14" ht="64" customHeight="1">
      <x:c r="A14" s="116" t="n">
        <x:v>5</x:v>
      </x:c>
      <x:c r="B14" s="117" t="str">
        <x:v>Correctly parsed related AD</x:v>
      </x:c>
      <x:c r="C14" s="117" t="str">
        <x:v>2006-0223__AD_2006-0223_1__easa_ad_2006_0223_superseded.pdf</x:v>
      </x:c>
      <x:c r="D14" s="116" t="str">
        <x:v>2006-0223</x:v>
      </x:c>
      <x:c r="E14" s="116" t="str">
        <x:v>2006-0223</x:v>
      </x:c>
      <x:c r="F14" s="116" t="str">
        <x:v>No</x:v>
      </x:c>
      <x:c r="G14" s="118" t="n">
        <x:v>38919</x:v>
      </x:c>
      <x:c r="H14" s="117" t="str">
        <x:v>ATA 27 — THSA installation/inspection action under Airbus SB A320-27-1164.</x:v>
      </x:c>
      <x:c r="I14" s="117" t="str">
        <x:v>Related predecessor context, but 2007-0178 does not supersede it; both are later superseded by 2008-0150.</x:v>
      </x:c>
      <x:c r="J14" s="119" t="str">
        <x:v>https://drive.google.com/file/d/106Vdlj1_sU01zVZx2mcB5XkV9MgGwL6B</x:v>
      </x:c>
      <x:c r="K14" s="116" t="str">
        <x:v>False conflict</x:v>
      </x:c>
      <x:c r="L14" s="116" t="str">
        <x:v>Yes</x:v>
      </x:c>
      <x:c r="M14" s="116" t="str">
        <x:v>Verified</x:v>
      </x:c>
      <x:c r="N14" s="117" t="str">
        <x:v>No AD-number change. Clear the conflict flag after the paired row is corrected and groups are rebuilt.</x:v>
      </x:c>
    </x:row>
    <x:row r="15" ht="64" customHeight="1">
      <x:c r="A15" s="116" t="n">
        <x:v>5</x:v>
      </x:c>
      <x:c r="B15" s="117" t="str">
        <x:v>Misparsed related follow-on</x:v>
      </x:c>
      <x:c r="C15" s="117" t="str">
        <x:v>2007-0178__AD_2007-0178_1__easa_ad_2007_0178_superseded.pdf</x:v>
      </x:c>
      <x:c r="D15" s="116" t="str">
        <x:v>2006-0223</x:v>
      </x:c>
      <x:c r="E15" s="116" t="str">
        <x:v>2007-0178</x:v>
      </x:c>
      <x:c r="F15" s="116" t="str">
        <x:v>Yes</x:v>
      </x:c>
      <x:c r="G15" s="118" t="n">
        <x:v>39255</x:v>
      </x:c>
      <x:c r="H15" s="117" t="str">
        <x:v>ATA 27 — one-time inspection of THSA upper/lower attachments after installation issues were found.</x:v>
      </x:c>
      <x:c r="I15" s="117" t="str">
        <x:v>Related follow-on, not a direct successor: its own field says Supersedure: None.</x:v>
      </x:c>
      <x:c r="J15" s="119" t="str">
        <x:v>https://drive.google.com/file/d/1tHhi4pbavi-KYcHuCM5lgOcP1uegS2xf</x:v>
      </x:c>
      <x:c r="K15" s="116" t="str">
        <x:v>False conflict</x:v>
      </x:c>
      <x:c r="L15" s="116" t="str">
        <x:v>Yes</x:v>
      </x:c>
      <x:c r="M15" s="116" t="str">
        <x:v>Verified</x:v>
      </x:c>
      <x:c r="N15" s="117" t="str">
        <x:v>Set AD/base number to 2007-0178; do not create a direct 2007-0178 → 2006-0223 supersedure edge.</x:v>
      </x:c>
    </x:row>
    <x:row r="16" ht="64" customHeight="1">
      <x:c r="A16" s="116" t="n">
        <x:v>6</x:v>
      </x:c>
      <x:c r="B16" s="117" t="str">
        <x:v>Correctly parsed predecessor</x:v>
      </x:c>
      <x:c r="C16" s="117" t="str">
        <x:v>2006-0307__AD_2006-0307_1__easa_ad_2006_0307.pdf</x:v>
      </x:c>
      <x:c r="D16" s="116" t="str">
        <x:v>2006-0307</x:v>
      </x:c>
      <x:c r="E16" s="116" t="str">
        <x:v>2006-0307</x:v>
      </x:c>
      <x:c r="F16" s="116" t="str">
        <x:v>No</x:v>
      </x:c>
      <x:c r="G16" s="118" t="n">
        <x:v>39000</x:v>
      </x:c>
      <x:c r="H16" s="117" t="str">
        <x:v>ATA 05 — A330 damage-tolerant ALI issue 14.</x:v>
      </x:c>
      <x:c r="I16" s="117" t="str">
        <x:v>Predecessor; directly superseded by 2008-0023.</x:v>
      </x:c>
      <x:c r="J16" s="119" t="str">
        <x:v>https://drive.google.com/file/d/1GyoD5bOFgAi937xDje-6zb1rqnvTv33w</x:v>
      </x:c>
      <x:c r="K16" s="116" t="str">
        <x:v>False conflict</x:v>
      </x:c>
      <x:c r="L16" s="116" t="str">
        <x:v>Yes</x:v>
      </x:c>
      <x:c r="M16" s="116" t="str">
        <x:v>Verified</x:v>
      </x:c>
      <x:c r="N16" s="117" t="str">
        <x:v>No AD-number change. Clear the conflict flag after the paired row is corrected and groups are rebuilt.</x:v>
      </x:c>
    </x:row>
    <x:row r="17" ht="64" customHeight="1">
      <x:c r="A17" s="116" t="n">
        <x:v>6</x:v>
      </x:c>
      <x:c r="B17" s="117" t="str">
        <x:v>Misparsed successor</x:v>
      </x:c>
      <x:c r="C17" s="117" t="str">
        <x:v>2008-0023__AD_2008-0023_1__easa_ad_2008_0023_Superseded.pdf</x:v>
      </x:c>
      <x:c r="D17" s="116" t="str">
        <x:v>2006-0307</x:v>
      </x:c>
      <x:c r="E17" s="116" t="str">
        <x:v>2008-0023</x:v>
      </x:c>
      <x:c r="F17" s="116" t="str">
        <x:v>Yes</x:v>
      </x:c>
      <x:c r="G17" s="118" t="n">
        <x:v>39484</x:v>
      </x:c>
      <x:c r="H17" s="117" t="str">
        <x:v>ATA 05 — A330 damage-tolerant ALI issue 15 with more restrictive limitations.</x:v>
      </x:c>
      <x:c r="I17" s="117" t="str">
        <x:v>Direct successor. Supersedure field names EASA AD 2006-0307.</x:v>
      </x:c>
      <x:c r="J17" s="119" t="str">
        <x:v>https://drive.google.com/file/d/1oD9jRLVWayaBLzgUwILeVqVgDB0Xo61z</x:v>
      </x:c>
      <x:c r="K17" s="116" t="str">
        <x:v>False conflict</x:v>
      </x:c>
      <x:c r="L17" s="116" t="str">
        <x:v>Yes</x:v>
      </x:c>
      <x:c r="M17" s="116" t="str">
        <x:v>Verified</x:v>
      </x:c>
      <x:c r="N17" s="117" t="str">
        <x:v>Set AD/base number to 2008-0023; rebuild logical-version, family, inverse-link, and conflict fields.</x:v>
      </x:c>
    </x:row>
    <x:row r="18" ht="64" customHeight="1">
      <x:c r="A18" s="116" t="n">
        <x:v>7</x:v>
      </x:c>
      <x:c r="B18" s="117" t="str">
        <x:v>Correctly parsed predecessor</x:v>
      </x:c>
      <x:c r="C18" s="117" t="str">
        <x:v>2006-0308__AD_2006-0308_1__easa_ad_2006_0308_superseded.pdf</x:v>
      </x:c>
      <x:c r="D18" s="116" t="str">
        <x:v>2006-0308</x:v>
      </x:c>
      <x:c r="E18" s="116" t="str">
        <x:v>2006-0308</x:v>
      </x:c>
      <x:c r="F18" s="116" t="str">
        <x:v>No</x:v>
      </x:c>
      <x:c r="G18" s="118" t="n">
        <x:v>39000</x:v>
      </x:c>
      <x:c r="H18" s="117" t="str">
        <x:v>ATA 05 — A340 damage-tolerant airworthiness limitations.</x:v>
      </x:c>
      <x:c r="I18" s="117" t="str">
        <x:v>Predecessor; directly superseded by 2007-0158.</x:v>
      </x:c>
      <x:c r="J18" s="119" t="str">
        <x:v>https://drive.google.com/file/d/1gQAJv7_KYO6tzux-5u-MpgREXtVBJUmJ</x:v>
      </x:c>
      <x:c r="K18" s="116" t="str">
        <x:v>False conflict</x:v>
      </x:c>
      <x:c r="L18" s="116" t="str">
        <x:v>Yes</x:v>
      </x:c>
      <x:c r="M18" s="116" t="str">
        <x:v>Verified</x:v>
      </x:c>
      <x:c r="N18" s="117" t="str">
        <x:v>No AD-number change. PDF metadata title says 2006-0307, but the PDF header and filename identify 2006-0308.</x:v>
      </x:c>
    </x:row>
    <x:row r="19" ht="64" customHeight="1">
      <x:c r="A19" s="120" t="n">
        <x:v>7</x:v>
      </x:c>
      <x:c r="B19" s="121" t="str">
        <x:v>Misparsed successor</x:v>
      </x:c>
      <x:c r="C19" s="121" t="str">
        <x:v>2007-0158__AD_2007-0158_1__easa_ad_2007_0158_Superseded.pdf</x:v>
      </x:c>
      <x:c r="D19" s="120" t="str">
        <x:v>2006-0308</x:v>
      </x:c>
      <x:c r="E19" s="120" t="str">
        <x:v>2007-0158</x:v>
      </x:c>
      <x:c r="F19" s="120" t="str">
        <x:v>Yes</x:v>
      </x:c>
      <x:c r="G19" s="122" t="n">
        <x:v>39237</x:v>
      </x:c>
      <x:c r="H19" s="121" t="str">
        <x:v>ATA 05 — A340 damage-tolerant ALI issue 10 with new/revised restrictive tasks.</x:v>
      </x:c>
      <x:c r="I19" s="121" t="str">
        <x:v>Direct successor. Supersedure field names EASA AD 2006-0308.</x:v>
      </x:c>
      <x:c r="J19" s="123" t="str">
        <x:v>https://drive.google.com/file/d/1ceX4gmN4h2c1gq1wOhjalIikeYI3lpSJ</x:v>
      </x:c>
      <x:c r="K19" s="120" t="str">
        <x:v>False conflict</x:v>
      </x:c>
      <x:c r="L19" s="120" t="str">
        <x:v>Yes</x:v>
      </x:c>
      <x:c r="M19" s="120" t="str">
        <x:v>Verified</x:v>
      </x:c>
      <x:c r="N19" s="121" t="str">
        <x:v>Set AD/base number to 2007-0158; rebuild logical-version, family, inverse-link, and conflict fields.</x:v>
      </x:c>
    </x:row>
  </x:sheetData>
  <x:mergeCells>
    <x:mergeCell ref="A1:N1"/>
    <x:mergeCell ref="A2:N2"/>
    <x:mergeCell ref="A4:N4"/>
  </x:mergeCells>
  <x:conditionalFormatting sqref="F6:F19">
    <x:cfRule type="containsText" dxfId="0" priority="1" operator="containsText" text="Yes"/>
    <x:cfRule type="containsText" dxfId="1" priority="2" operator="containsText" text="No"/>
  </x:conditionalFormatting>
  <x:conditionalFormatting sqref="K6:K19">
    <x:cfRule type="containsText" dxfId="2" priority="3" operator="containsText" text="False"/>
  </x:conditionalFormatting>
  <x:pageMargins left="0.7" right="0.7" top="0.75" bottom="0.75" header="0.3" footer="0.3"/>
  <x:tableParts count="1">
    <x:tablePart xmlns:r="http://schemas.openxmlformats.org/officeDocument/2006/relationships" r:id="R85346dac1bfa4e5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2" hidden="0" customWidth="1"/>
    <x:col min="7" max="7" width="31" hidden="0" customWidth="1"/>
    <x:col min="8" max="8" width="50" hidden="0" customWidth="1"/>
    <x:col min="9" max="9" width="58" hidden="0" customWidth="1"/>
    <x:col min="10" max="10" width="12" hidden="0" customWidth="1"/>
    <x:col min="11" max="11" width="12" hidden="0" customWidth="1"/>
    <x:col min="12" max="12" width="38" hidden="0" customWidth="1"/>
    <x:col min="13" max="13" width="16" hidden="0" customWidth="1"/>
    <x:col min="14" max="14" width="30" hidden="0" customWidth="1"/>
    <x:col min="15" max="15" width="30" hidden="0" customWidth="1"/>
    <x:col min="16" max="16" width="45" hidden="0" customWidth="1"/>
  </x:cols>
  <x:sheetData>
    <x:row r="1" ht="32" customHeight="1">
      <x:c r="A1" s="3" t="str">
        <x:v>Near-duplicate review — 17 pairs checked one by one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0" customHeight="1">
      <x:c r="A2" s="7" t="str">
        <x:v>All source PDF headers match their filenames. Similarity is explained by direct supersedure, inherited/transitive lineage, or parallel requirements for different aircraft families. No pair is a deletion duplicate.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4">
      <x:c r="A4" s="126" t="str">
        <x:v>Graph rule: explicit direct edges may be recorded; companion pairs and the 2024-0038 → 2026-0017 transitive shortcut must not be recorded as direct supersedures.</x:v>
      </x:c>
      <x:c r="B4" s="126"/>
      <x:c r="C4" s="126"/>
      <x:c r="D4" s="126"/>
      <x:c r="E4" s="126"/>
      <x:c r="F4" s="126"/>
      <x:c r="G4" s="126"/>
      <x:c r="H4" s="126"/>
      <x:c r="I4" s="126"/>
      <x:c r="J4" s="126"/>
      <x:c r="K4" s="126"/>
      <x:c r="L4" s="126"/>
      <x:c r="M4" s="126"/>
      <x:c r="N4" s="126"/>
      <x:c r="O4" s="126"/>
      <x:c r="P4" s="126"/>
    </x:row>
    <x:row r="5" ht="34" customHeight="1">
      <x:c r="A5" s="56" t="str">
        <x:v>Pair</x:v>
      </x:c>
      <x:c r="B5" s="57" t="str">
        <x:v>AD A</x:v>
      </x:c>
      <x:c r="C5" s="57" t="str">
        <x:v>Date / Issued A</x:v>
      </x:c>
      <x:c r="D5" s="57" t="str">
        <x:v>AD B</x:v>
      </x:c>
      <x:c r="E5" s="57" t="str">
        <x:v>Date / Issued B</x:v>
      </x:c>
      <x:c r="F5" s="57" t="str">
        <x:v>Text similarity</x:v>
      </x:c>
      <x:c r="G5" s="57" t="str">
        <x:v>Final classification</x:v>
      </x:c>
      <x:c r="H5" s="57" t="str">
        <x:v>Relationship evidence</x:v>
      </x:c>
      <x:c r="I5" s="57" t="str">
        <x:v>Material difference</x:v>
      </x:c>
      <x:c r="J5" s="57" t="str">
        <x:v>Keep both</x:v>
      </x:c>
      <x:c r="K5" s="57" t="str">
        <x:v>True duplicate</x:v>
      </x:c>
      <x:c r="L5" s="57" t="str">
        <x:v>Direct graph edge</x:v>
      </x:c>
      <x:c r="M5" s="57" t="str">
        <x:v>Manually verified</x:v>
      </x:c>
      <x:c r="N5" s="57" t="str">
        <x:v>PDF A</x:v>
      </x:c>
      <x:c r="O5" s="57" t="str">
        <x:v>PDF B</x:v>
      </x:c>
      <x:c r="P5" s="58" t="str">
        <x:v>Reviewer note</x:v>
      </x:c>
    </x:row>
    <x:row r="6" ht="76" customHeight="1">
      <x:c r="A6" s="112" t="n">
        <x:v>1</x:v>
      </x:c>
      <x:c r="B6" s="112" t="str">
        <x:v>2006-0204</x:v>
      </x:c>
      <x:c r="C6" s="114" t="n">
        <x:v>38909</x:v>
      </x:c>
      <x:c r="D6" s="112" t="str">
        <x:v>2006-0205</x:v>
      </x:c>
      <x:c r="E6" s="114" t="n">
        <x:v>38909</x:v>
      </x:c>
      <x:c r="F6" s="132" t="n">
        <x:v>0.93422</x:v>
      </x:c>
      <x:c r="G6" s="113" t="str">
        <x:v>Companion / parallel AD</x:v>
      </x:c>
      <x:c r="H6" s="113" t="str">
        <x:v>Both say Supersedure: none and use the same ATA 28 Fuel Tank Safety / FAL framework.</x:v>
      </x:c>
      <x:c r="I6" s="113" t="str">
        <x:v>0204 applies to A330 under TCDS A.004; 0205 applies to A340 under TCDS A.015.</x:v>
      </x:c>
      <x:c r="J6" s="112" t="str">
        <x:v>Yes</x:v>
      </x:c>
      <x:c r="K6" s="112" t="str">
        <x:v>No</x:v>
      </x:c>
      <x:c r="L6" s="112" t="str">
        <x:v>No</x:v>
      </x:c>
      <x:c r="M6" s="112" t="str">
        <x:v>Yes</x:v>
      </x:c>
      <x:c r="N6" s="115" t="str">
        <x:v>https://drive.google.com/file/d/1npzgVv-62xulgGmYhWUI7cM3N6lOt8Q5</x:v>
      </x:c>
      <x:c r="O6" s="115" t="str">
        <x:v>https://drive.google.com/file/d/1nzOomMvMsGd2Fi5VcunhrfOHTiGkKbUl</x:v>
      </x:c>
      <x:c r="P6" s="113" t="str">
        <x:v>High similarity comes from parallel requirements for different aircraft families.</x:v>
      </x:c>
    </x:row>
    <x:row r="7" ht="76" customHeight="1">
      <x:c r="A7" s="116" t="n">
        <x:v>2</x:v>
      </x:c>
      <x:c r="B7" s="116" t="str">
        <x:v>2006-0332</x:v>
      </x:c>
      <x:c r="C7" s="118" t="n">
        <x:v>39017</x:v>
      </x:c>
      <x:c r="D7" s="116" t="str">
        <x:v>2006-0333</x:v>
      </x:c>
      <x:c r="E7" s="118" t="n">
        <x:v>39017</x:v>
      </x:c>
      <x:c r="F7" s="133" t="n">
        <x:v>0.94002</x:v>
      </x:c>
      <x:c r="G7" s="117" t="str">
        <x:v>Companion / parallel AD</x:v>
      </x:c>
      <x:c r="H7" s="117" t="str">
        <x:v>Both say supersedure is not applicable and share the ATA 53 fuselage-skin inspection/repair rationale.</x:v>
      </x:c>
      <x:c r="I7" s="117" t="str">
        <x:v>0332 is A330 with SB A330-53-3161/3162; 0333 is A340-200/-300 with SB A340-53-4166/4167.</x:v>
      </x:c>
      <x:c r="J7" s="116" t="str">
        <x:v>Yes</x:v>
      </x:c>
      <x:c r="K7" s="116" t="str">
        <x:v>No</x:v>
      </x:c>
      <x:c r="L7" s="116" t="str">
        <x:v>No</x:v>
      </x:c>
      <x:c r="M7" s="116" t="str">
        <x:v>Yes</x:v>
      </x:c>
      <x:c r="N7" s="119" t="str">
        <x:v>https://drive.google.com/file/d/1_1mC1mI7VXbLjiO-WczkmjqiibTRr3ab</x:v>
      </x:c>
      <x:c r="O7" s="119" t="str">
        <x:v>https://drive.google.com/file/d/1rRBkNDPZB3F16xNJ_YXkD4ZvI0PaIFkr</x:v>
      </x:c>
      <x:c r="P7" s="117" t="str">
        <x:v>Parallel instructions for different type certificates.</x:v>
      </x:c>
    </x:row>
    <x:row r="8" ht="76" customHeight="1">
      <x:c r="A8" s="116" t="n">
        <x:v>3</x:v>
      </x:c>
      <x:c r="B8" s="116" t="str">
        <x:v>2013-0023</x:v>
      </x:c>
      <x:c r="C8" s="118" t="n">
        <x:v>41306</x:v>
      </x:c>
      <x:c r="D8" s="116" t="str">
        <x:v>2014-0103</x:v>
      </x:c>
      <x:c r="E8" s="118" t="n">
        <x:v>41765</x:v>
      </x:c>
      <x:c r="F8" s="133" t="n">
        <x:v>0.92584</x:v>
      </x:c>
      <x:c r="G8" s="117" t="str">
        <x:v>Direct supersedure / reissue</x:v>
      </x:c>
      <x:c r="H8" s="117" t="str">
        <x:v>2014-0103 explicitly states that it supersedes EASA AD 2013-0023.</x:v>
      </x:c>
      <x:c r="I8" s="117" t="str">
        <x:v>Same ATA 34 AOA-probe conic-plate subject; successor adds action after incorrect flat-plate installations were found.</x:v>
      </x:c>
      <x:c r="J8" s="116" t="str">
        <x:v>Yes</x:v>
      </x:c>
      <x:c r="K8" s="116" t="str">
        <x:v>No</x:v>
      </x:c>
      <x:c r="L8" s="116" t="str">
        <x:v>Yes: 2014-0103 → 2013-0023</x:v>
      </x:c>
      <x:c r="M8" s="116" t="str">
        <x:v>Yes</x:v>
      </x:c>
      <x:c r="N8" s="119" t="str">
        <x:v>https://drive.google.com/file/d/1Kc1xITQ4gBovULVB4-FXYQV8kqdutuC-</x:v>
      </x:c>
      <x:c r="O8" s="119" t="str">
        <x:v>https://drive.google.com/file/d/16CbDULCeMYxjqjVpC9-Mt-OuUHfYB6Sk</x:v>
      </x:c>
      <x:c r="P8" s="117" t="str">
        <x:v>Historical predecessor plus active successor.</x:v>
      </x:c>
    </x:row>
    <x:row r="9" ht="76" customHeight="1">
      <x:c r="A9" s="116" t="n">
        <x:v>4</x:v>
      </x:c>
      <x:c r="B9" s="116" t="str">
        <x:v>2015-0089</x:v>
      </x:c>
      <x:c r="C9" s="118" t="n">
        <x:v>42146</x:v>
      </x:c>
      <x:c r="D9" s="116" t="str">
        <x:v>2015-0134</x:v>
      </x:c>
      <x:c r="E9" s="118" t="n">
        <x:v>42193</x:v>
      </x:c>
      <x:c r="F9" s="133" t="n">
        <x:v>0.93872</x:v>
      </x:c>
      <x:c r="G9" s="117" t="str">
        <x:v>Direct supersedure / reissue</x:v>
      </x:c>
      <x:c r="H9" s="117" t="str">
        <x:v>2015-0134 explicitly states that it supersedes EASA AD 2015-0089.</x:v>
      </x:c>
      <x:c r="I9" s="117" t="str">
        <x:v>Successor retains the ATA 34 AOA-sensor action and reduces compliance times for UTAS P/N 0861ED2 sensors.</x:v>
      </x:c>
      <x:c r="J9" s="116" t="str">
        <x:v>Yes</x:v>
      </x:c>
      <x:c r="K9" s="116" t="str">
        <x:v>No</x:v>
      </x:c>
      <x:c r="L9" s="116" t="str">
        <x:v>Yes: 2015-0134 → 2015-0089</x:v>
      </x:c>
      <x:c r="M9" s="116" t="str">
        <x:v>Yes</x:v>
      </x:c>
      <x:c r="N9" s="119" t="str">
        <x:v>https://drive.google.com/file/d/1fdU0PKeqwGEn4GTyQFKAf6PEeg2-yuOq</x:v>
      </x:c>
      <x:c r="O9" s="119" t="str">
        <x:v>https://drive.google.com/file/d/192AQE54k_mzLrTiFihFkYtcx-_L3fA_q</x:v>
      </x:c>
      <x:c r="P9" s="117" t="str">
        <x:v>Historical predecessor plus active successor.</x:v>
      </x:c>
    </x:row>
    <x:row r="10" ht="76" customHeight="1">
      <x:c r="A10" s="116" t="n">
        <x:v>5</x:v>
      </x:c>
      <x:c r="B10" s="116" t="str">
        <x:v>2016-0035R1</x:v>
      </x:c>
      <x:c r="C10" s="118" t="n">
        <x:v>43364</x:v>
      </x:c>
      <x:c r="D10" s="116" t="str">
        <x:v>2019-0243</x:v>
      </x:c>
      <x:c r="E10" s="118" t="n">
        <x:v>43738</x:v>
      </x:c>
      <x:c r="F10" s="133" t="n">
        <x:v>0.94622</x:v>
      </x:c>
      <x:c r="G10" s="117" t="str">
        <x:v>Direct supersedure / reissue</x:v>
      </x:c>
      <x:c r="H10" s="117" t="str">
        <x:v>2019-0243 explicitly states that it supersedes EASA AD 2016-0035R1.</x:v>
      </x:c>
      <x:c r="I10" s="117" t="str">
        <x:v>Same ATA 53 A340 structural modifications; successor adds work tied to Actions 1, 2, and 8 for certain aircraft.</x:v>
      </x:c>
      <x:c r="J10" s="116" t="str">
        <x:v>Yes</x:v>
      </x:c>
      <x:c r="K10" s="116" t="str">
        <x:v>No</x:v>
      </x:c>
      <x:c r="L10" s="116" t="str">
        <x:v>Yes: 2019-0243 → 2016-0035R1</x:v>
      </x:c>
      <x:c r="M10" s="116" t="str">
        <x:v>Yes</x:v>
      </x:c>
      <x:c r="N10" s="119" t="str">
        <x:v>https://drive.google.com/file/d/1s2zAkYMYr4zRuSP8Tvot8IW-KwnzeHhZ</x:v>
      </x:c>
      <x:c r="O10" s="119" t="str">
        <x:v>https://drive.google.com/file/d/1a8nSjsWnQFEhyA4wgHLZ9tBbWJWgqRpF</x:v>
      </x:c>
      <x:c r="P10" s="117" t="str">
        <x:v>Historical revision plus later reissue.</x:v>
      </x:c>
    </x:row>
    <x:row r="11" ht="76" customHeight="1">
      <x:c r="A11" s="116" t="n">
        <x:v>6</x:v>
      </x:c>
      <x:c r="B11" s="116" t="str">
        <x:v>2016-0095</x:v>
      </x:c>
      <x:c r="C11" s="118" t="n">
        <x:v>42509</x:v>
      </x:c>
      <x:c r="D11" s="116" t="str">
        <x:v>2017-0013</x:v>
      </x:c>
      <x:c r="E11" s="118" t="n">
        <x:v>42762</x:v>
      </x:c>
      <x:c r="F11" s="133" t="n">
        <x:v>0.97426</x:v>
      </x:c>
      <x:c r="G11" s="117" t="str">
        <x:v>Direct supersedure / reissue</x:v>
      </x:c>
      <x:c r="H11" s="117" t="str">
        <x:v>2017-0013 explicitly states that it supersedes EASA AD 2016-0095.</x:v>
      </x:c>
      <x:c r="I11" s="117" t="str">
        <x:v>Successor changes the service-life calculation for one RH outboard flap and removes one middle-flap serial number.</x:v>
      </x:c>
      <x:c r="J11" s="116" t="str">
        <x:v>Yes</x:v>
      </x:c>
      <x:c r="K11" s="116" t="str">
        <x:v>No</x:v>
      </x:c>
      <x:c r="L11" s="116" t="str">
        <x:v>Yes: 2017-0013 → 2016-0095</x:v>
      </x:c>
      <x:c r="M11" s="116" t="str">
        <x:v>Yes</x:v>
      </x:c>
      <x:c r="N11" s="119" t="str">
        <x:v>https://drive.google.com/file/d/1GpkEVvqAbirH3CW5REbgBLOjNxlMByFN</x:v>
      </x:c>
      <x:c r="O11" s="119" t="str">
        <x:v>https://drive.google.com/file/d/1xaZztZABkKh4c8BSnd-Xq18wPPBhQ652</x:v>
      </x:c>
      <x:c r="P11" s="117" t="str">
        <x:v>Same ATA 57 A380 flap subject; requirements changed.</x:v>
      </x:c>
    </x:row>
    <x:row r="12" ht="76" customHeight="1">
      <x:c r="A12" s="116" t="n">
        <x:v>7</x:v>
      </x:c>
      <x:c r="B12" s="116" t="str">
        <x:v>2016-0231</x:v>
      </x:c>
      <x:c r="C12" s="118" t="n">
        <x:v>42696</x:v>
      </x:c>
      <x:c r="D12" s="116" t="str">
        <x:v>2022-0189</x:v>
      </x:c>
      <x:c r="E12" s="118" t="n">
        <x:v>44823</x:v>
      </x:c>
      <x:c r="F12" s="133" t="n">
        <x:v>0.97577</x:v>
      </x:c>
      <x:c r="G12" s="117" t="str">
        <x:v>Direct supersedure / reissue</x:v>
      </x:c>
      <x:c r="H12" s="117" t="str">
        <x:v>2022-0189 explicitly states that it supersedes EASA AD 2016-0231.</x:v>
      </x:c>
      <x:c r="I12" s="117" t="str">
        <x:v>Successor adds A330-743L applicability and tightens the allowance for installing affected flaps.</x:v>
      </x:c>
      <x:c r="J12" s="116" t="str">
        <x:v>Yes</x:v>
      </x:c>
      <x:c r="K12" s="116" t="str">
        <x:v>No</x:v>
      </x:c>
      <x:c r="L12" s="116" t="str">
        <x:v>Yes: 2022-0189 → 2016-0231</x:v>
      </x:c>
      <x:c r="M12" s="116" t="str">
        <x:v>Yes</x:v>
      </x:c>
      <x:c r="N12" s="119" t="str">
        <x:v>https://drive.google.com/file/d/1Fm6ueZTONXZnbLajnwVZkBkExfDfaKN1</x:v>
      </x:c>
      <x:c r="O12" s="119" t="str">
        <x:v>https://drive.google.com/file/d/10Hh4xa9H-sQ4uOzBB-j097ARrmzrghlH</x:v>
      </x:c>
      <x:c r="P12" s="117" t="str">
        <x:v>Same ATA 57 A330/A340 inboard-flap subject; requirements changed.</x:v>
      </x:c>
    </x:row>
    <x:row r="13" ht="76" customHeight="1">
      <x:c r="A13" s="116" t="n">
        <x:v>8</x:v>
      </x:c>
      <x:c r="B13" s="116" t="str">
        <x:v>2017-0138</x:v>
      </x:c>
      <x:c r="C13" s="118" t="n">
        <x:v>42949</x:v>
      </x:c>
      <x:c r="D13" s="116" t="str">
        <x:v>2017-0251</x:v>
      </x:c>
      <x:c r="E13" s="118" t="n">
        <x:v>43084</x:v>
      </x:c>
      <x:c r="F13" s="133" t="n">
        <x:v>0.9455</x:v>
      </x:c>
      <x:c r="G13" s="117" t="str">
        <x:v>Direct supersedure / reissue</x:v>
      </x:c>
      <x:c r="H13" s="117" t="str">
        <x:v>2017-0251 explicitly states that it supersedes EASA AD 2017-0138.</x:v>
      </x:c>
      <x:c r="I13" s="117" t="str">
        <x:v>Successor adds a Goodrich SB and requirements for engines with the TRF four-lug configuration.</x:v>
      </x:c>
      <x:c r="J13" s="116" t="str">
        <x:v>Yes</x:v>
      </x:c>
      <x:c r="K13" s="116" t="str">
        <x:v>No</x:v>
      </x:c>
      <x:c r="L13" s="116" t="str">
        <x:v>Yes: 2017-0251 → 2017-0138</x:v>
      </x:c>
      <x:c r="M13" s="116" t="str">
        <x:v>Yes</x:v>
      </x:c>
      <x:c r="N13" s="119" t="str">
        <x:v>https://drive.google.com/file/d/1Vd9tSueW0r9JgIRb1edHg15gZN4pkHQv</x:v>
      </x:c>
      <x:c r="O13" s="119" t="str">
        <x:v>https://drive.google.com/file/d/1-7Deute4fDbuNS1GOArSDVltapL3BETW</x:v>
      </x:c>
      <x:c r="P13" s="117" t="str">
        <x:v>Same ATA 71 aft engine-mount retainer subject; requirements changed.</x:v>
      </x:c>
    </x:row>
    <x:row r="14" ht="76" customHeight="1">
      <x:c r="A14" s="116" t="n">
        <x:v>9</x:v>
      </x:c>
      <x:c r="B14" s="116" t="str">
        <x:v>2019-0243</x:v>
      </x:c>
      <x:c r="C14" s="118" t="n">
        <x:v>43738</x:v>
      </x:c>
      <x:c r="D14" s="116" t="str">
        <x:v>2026-0084</x:v>
      </x:c>
      <x:c r="E14" s="118" t="n">
        <x:v>46139</x:v>
      </x:c>
      <x:c r="F14" s="133" t="n">
        <x:v>0.9264</x:v>
      </x:c>
      <x:c r="G14" s="117" t="str">
        <x:v>Direct supersedure / reissue</x:v>
      </x:c>
      <x:c r="H14" s="117" t="str">
        <x:v>2026-0084 explicitly states that it supersedes EASA AD 2019-0243.</x:v>
      </x:c>
      <x:c r="I14" s="117" t="str">
        <x:v>Successor adds Airbus SB references and a more restrictive Action 5 compliance time for Group 43A aircraft.</x:v>
      </x:c>
      <x:c r="J14" s="116" t="str">
        <x:v>Yes</x:v>
      </x:c>
      <x:c r="K14" s="116" t="str">
        <x:v>No</x:v>
      </x:c>
      <x:c r="L14" s="116" t="str">
        <x:v>Yes: 2026-0084 → 2019-0243</x:v>
      </x:c>
      <x:c r="M14" s="116" t="str">
        <x:v>Yes</x:v>
      </x:c>
      <x:c r="N14" s="119" t="str">
        <x:v>https://drive.google.com/file/d/1a8nSjsWnQFEhyA4wgHLZ9tBbWJWgqRpF</x:v>
      </x:c>
      <x:c r="O14" s="119" t="str">
        <x:v>https://drive.google.com/file/d/1lU1lMk3ws0eYX-OU_PAK0WRezUmEs2X1</x:v>
      </x:c>
      <x:c r="P14" s="117" t="str">
        <x:v>Same ATA 53 A340 structural-modification lineage.</x:v>
      </x:c>
    </x:row>
    <x:row r="15" ht="76" customHeight="1">
      <x:c r="A15" s="116" t="n">
        <x:v>10</x:v>
      </x:c>
      <x:c r="B15" s="116" t="str">
        <x:v>2020-0174</x:v>
      </x:c>
      <x:c r="C15" s="118" t="n">
        <x:v>44048</x:v>
      </x:c>
      <x:c r="D15" s="116" t="str">
        <x:v>2021-0229</x:v>
      </x:c>
      <x:c r="E15" s="118" t="n">
        <x:v>44505</x:v>
      </x:c>
      <x:c r="F15" s="133" t="n">
        <x:v>0.98096</x:v>
      </x:c>
      <x:c r="G15" s="117" t="str">
        <x:v>Direct supersedure / reissue</x:v>
      </x:c>
      <x:c r="H15" s="117" t="str">
        <x:v>2021-0229 explicitly states that it supersedes EASA AD 2020-0174.</x:v>
      </x:c>
      <x:c r="I15" s="117" t="str">
        <x:v>Same ATA 57 outer-flap/tab subject; successor corrects part serial numbers, updates the SB, and clarifies formatting.</x:v>
      </x:c>
      <x:c r="J15" s="116" t="str">
        <x:v>Yes</x:v>
      </x:c>
      <x:c r="K15" s="116" t="str">
        <x:v>No</x:v>
      </x:c>
      <x:c r="L15" s="116" t="str">
        <x:v>Yes: 2021-0229 → 2020-0174</x:v>
      </x:c>
      <x:c r="M15" s="116" t="str">
        <x:v>Yes</x:v>
      </x:c>
      <x:c r="N15" s="119" t="str">
        <x:v>https://drive.google.com/file/d/1v9b5jk2YF7_sRV2IX7Lr-yO1bri0Cs6x</x:v>
      </x:c>
      <x:c r="O15" s="119" t="str">
        <x:v>https://drive.google.com/file/d/1TKEdOUtTP_zz5ghRtjVarn-EfsCzMavM</x:v>
      </x:c>
      <x:c r="P15" s="117" t="str">
        <x:v>Nearly identical text is expected because the later AD retains the earlier requirements.</x:v>
      </x:c>
    </x:row>
    <x:row r="16" ht="76" customHeight="1">
      <x:c r="A16" s="116" t="n">
        <x:v>11</x:v>
      </x:c>
      <x:c r="B16" s="116" t="str">
        <x:v>2022-0096R2</x:v>
      </x:c>
      <x:c r="C16" s="118" t="n">
        <x:v>45394</x:v>
      </x:c>
      <x:c r="D16" s="116" t="str">
        <x:v>2024-0091R1</x:v>
      </x:c>
      <x:c r="E16" s="118" t="n">
        <x:v>45442</x:v>
      </x:c>
      <x:c r="F16" s="133" t="n">
        <x:v>0.93522</x:v>
      </x:c>
      <x:c r="G16" s="117" t="str">
        <x:v>Successor via revised reissue</x:v>
      </x:c>
      <x:c r="H16" s="117" t="str">
        <x:v>2024-0091R1 revises 2024-0091, whose header relationship states that it superseded 2022-0096R2.</x:v>
      </x:c>
      <x:c r="I16" s="117" t="str">
        <x:v>Same ATA 22 Flight Guidance subject; the new AD corrects software references, and R1 adds optional SB paths/removes unaffected FG entries.</x:v>
      </x:c>
      <x:c r="J16" s="116" t="str">
        <x:v>Yes</x:v>
      </x:c>
      <x:c r="K16" s="116" t="str">
        <x:v>No</x:v>
      </x:c>
      <x:c r="L16" s="116" t="str">
        <x:v>Family edge: 2024-0091 → 2022-0096R2</x:v>
      </x:c>
      <x:c r="M16" s="116" t="str">
        <x:v>Yes</x:v>
      </x:c>
      <x:c r="N16" s="119" t="str">
        <x:v>https://drive.google.com/file/d/1j6xNE5F49KPXdbUj5zaGIkSZXYMaFyHH</x:v>
      </x:c>
      <x:c r="O16" s="119" t="str">
        <x:v>https://drive.google.com/file/d/1xP4tUBykQVwPlDpHaRl7_KJgeOK7FxZj</x:v>
      </x:c>
      <x:c r="P16" s="117" t="str">
        <x:v>Do not describe the exact R1 PDF as an ordinary direct reissue; preserve the 2024-0091 family step.</x:v>
      </x:c>
    </x:row>
    <x:row r="17" ht="76" customHeight="1">
      <x:c r="A17" s="116" t="n">
        <x:v>12</x:v>
      </x:c>
      <x:c r="B17" s="116" t="str">
        <x:v>2023-0212</x:v>
      </x:c>
      <x:c r="C17" s="118" t="n">
        <x:v>45266</x:v>
      </x:c>
      <x:c r="D17" s="116" t="str">
        <x:v>2024-0217</x:v>
      </x:c>
      <x:c r="E17" s="118" t="n">
        <x:v>45614</x:v>
      </x:c>
      <x:c r="F17" s="133" t="n">
        <x:v>0.92824</x:v>
      </x:c>
      <x:c r="G17" s="117" t="str">
        <x:v>Direct supersedure / reissue</x:v>
      </x:c>
      <x:c r="H17" s="117" t="str">
        <x:v>2024-0217 explicitly states that it supersedes EASA AD 2023-0212.</x:v>
      </x:c>
      <x:c r="I17" s="117" t="str">
        <x:v>Same ATA 53 frame 16/20 double-joggle subject; successor corrects repaired-aircraft treatment and adds inspection-continuation rules.</x:v>
      </x:c>
      <x:c r="J17" s="116" t="str">
        <x:v>Yes</x:v>
      </x:c>
      <x:c r="K17" s="116" t="str">
        <x:v>No</x:v>
      </x:c>
      <x:c r="L17" s="116" t="str">
        <x:v>Yes: 2024-0217 → 2023-0212</x:v>
      </x:c>
      <x:c r="M17" s="116" t="str">
        <x:v>Yes</x:v>
      </x:c>
      <x:c r="N17" s="119" t="str">
        <x:v>https://drive.google.com/file/d/10VqbdwU6faOfNv3mdGWoMiV16R2hJjTc</x:v>
      </x:c>
      <x:c r="O17" s="119" t="str">
        <x:v>https://drive.google.com/file/d/1nIpdEqqR12HzkfP4Y0XFu-WSXNPxDifA</x:v>
      </x:c>
      <x:c r="P17" s="117" t="str">
        <x:v>Historical predecessor plus corrected successor.</x:v>
      </x:c>
    </x:row>
    <x:row r="18" ht="76" customHeight="1">
      <x:c r="A18" s="116" t="n">
        <x:v>13</x:v>
      </x:c>
      <x:c r="B18" s="116" t="str">
        <x:v>2024-0027</x:v>
      </x:c>
      <x:c r="C18" s="118" t="n">
        <x:v>45316</x:v>
      </x:c>
      <x:c r="D18" s="116" t="str">
        <x:v>2024-0230</x:v>
      </x:c>
      <x:c r="E18" s="118" t="n">
        <x:v>45628</x:v>
      </x:c>
      <x:c r="F18" s="133" t="n">
        <x:v>0.9202</x:v>
      </x:c>
      <x:c r="G18" s="117" t="str">
        <x:v>Direct supersedure / reissue</x:v>
      </x:c>
      <x:c r="H18" s="117" t="str">
        <x:v>2024-0230 explicitly states that it supersedes EASA AD 2024-0027.</x:v>
      </x:c>
      <x:c r="I18" s="117" t="str">
        <x:v>Same ATA 57 wing-skin inspection; successor prohibits deactivated SRM tasks and permits the May-2024-or-later task version.</x:v>
      </x:c>
      <x:c r="J18" s="116" t="str">
        <x:v>Yes</x:v>
      </x:c>
      <x:c r="K18" s="116" t="str">
        <x:v>No</x:v>
      </x:c>
      <x:c r="L18" s="116" t="str">
        <x:v>Yes: 2024-0230 → 2024-0027</x:v>
      </x:c>
      <x:c r="M18" s="116" t="str">
        <x:v>Yes</x:v>
      </x:c>
      <x:c r="N18" s="119" t="str">
        <x:v>https://drive.google.com/file/d/1mUvaT4h45kKRXwWytsM4XB5SVMXhhBiK</x:v>
      </x:c>
      <x:c r="O18" s="119" t="str">
        <x:v>https://drive.google.com/file/d/1ZN9xR77wWuQk6cpaxKfCkvvfpTKdCatk</x:v>
      </x:c>
      <x:c r="P18" s="117" t="str">
        <x:v>Historical predecessor plus updated successor.</x:v>
      </x:c>
    </x:row>
    <x:row r="19" ht="76" customHeight="1">
      <x:c r="A19" s="116" t="n">
        <x:v>14</x:v>
      </x:c>
      <x:c r="B19" s="116" t="str">
        <x:v>2024-0038</x:v>
      </x:c>
      <x:c r="C19" s="118" t="n">
        <x:v>45327</x:v>
      </x:c>
      <x:c r="D19" s="116" t="str">
        <x:v>2025-0068</x:v>
      </x:c>
      <x:c r="E19" s="118" t="n">
        <x:v>45744</x:v>
      </x:c>
      <x:c r="F19" s="133" t="n">
        <x:v>0.96602</x:v>
      </x:c>
      <x:c r="G19" s="117" t="str">
        <x:v>Direct supersedure / reissue</x:v>
      </x:c>
      <x:c r="H19" s="117" t="str">
        <x:v>2025-0068 explicitly states that it supersedes EASA AD 2024-0038.</x:v>
      </x:c>
      <x:c r="I19" s="117" t="str">
        <x:v>Same ATA 25 galley inspection; successor adds three omitted part numbers and removes P/N 6019A3-000101.</x:v>
      </x:c>
      <x:c r="J19" s="116" t="str">
        <x:v>Yes</x:v>
      </x:c>
      <x:c r="K19" s="116" t="str">
        <x:v>No</x:v>
      </x:c>
      <x:c r="L19" s="116" t="str">
        <x:v>Yes: 2025-0068 → 2024-0038</x:v>
      </x:c>
      <x:c r="M19" s="116" t="str">
        <x:v>Yes</x:v>
      </x:c>
      <x:c r="N19" s="119" t="str">
        <x:v>https://drive.google.com/file/d/1h3yAuyRGLgBW7Pf7DqirucYqmRyfuCU1</x:v>
      </x:c>
      <x:c r="O19" s="119" t="str">
        <x:v>https://drive.google.com/file/d/1DqNuvBWiyJmstYGzv4meQIdl0eaUp1Qn</x:v>
      </x:c>
      <x:c r="P19" s="117" t="str">
        <x:v>First direct edge in the three-document galley lineage.</x:v>
      </x:c>
    </x:row>
    <x:row r="20" ht="76" customHeight="1">
      <x:c r="A20" s="116" t="n">
        <x:v>15</x:v>
      </x:c>
      <x:c r="B20" s="116" t="str">
        <x:v>2024-0038</x:v>
      </x:c>
      <x:c r="C20" s="118" t="n">
        <x:v>45327</x:v>
      </x:c>
      <x:c r="D20" s="116" t="str">
        <x:v>2026-0017</x:v>
      </x:c>
      <x:c r="E20" s="118" t="n">
        <x:v>46045</x:v>
      </x:c>
      <x:c r="F20" s="133" t="n">
        <x:v>0.95868</x:v>
      </x:c>
      <x:c r="G20" s="117" t="str">
        <x:v>Transitive lineage (two-hop)</x:v>
      </x:c>
      <x:c r="H20" s="117" t="str">
        <x:v>2026-0017 supersedes 2025-0068, which supersedes 2024-0038; it does not directly supersede 2024-0038.</x:v>
      </x:c>
      <x:c r="I20" s="117" t="str">
        <x:v>Same galley subject; the latest AD adds another affected part number after the intermediate 2025 reissue.</x:v>
      </x:c>
      <x:c r="J20" s="116" t="str">
        <x:v>Yes</x:v>
      </x:c>
      <x:c r="K20" s="116" t="str">
        <x:v>No</x:v>
      </x:c>
      <x:c r="L20" s="116" t="str">
        <x:v>No: preserve 2024-0038 → 2025-0068 → 2026-0017</x:v>
      </x:c>
      <x:c r="M20" s="116" t="str">
        <x:v>Yes</x:v>
      </x:c>
      <x:c r="N20" s="119" t="str">
        <x:v>https://drive.google.com/file/d/1h3yAuyRGLgBW7Pf7DqirucYqmRyfuCU1</x:v>
      </x:c>
      <x:c r="O20" s="119" t="str">
        <x:v>https://drive.google.com/file/d/1Dvr81oPyBz-A-UBCgJwVWEfYqnSoNOIh</x:v>
      </x:c>
      <x:c r="P20" s="117" t="str">
        <x:v>Similarity produced a valid lineage pair, but it must not become a direct supersedure edge.</x:v>
      </x:c>
    </x:row>
    <x:row r="21" ht="76" customHeight="1">
      <x:c r="A21" s="116" t="n">
        <x:v>16</x:v>
      </x:c>
      <x:c r="B21" s="116" t="str">
        <x:v>2024-0199</x:v>
      </x:c>
      <x:c r="C21" s="118" t="n">
        <x:v>45583</x:v>
      </x:c>
      <x:c r="D21" s="116" t="str">
        <x:v>2025-0120</x:v>
      </x:c>
      <x:c r="E21" s="118" t="n">
        <x:v>45803</x:v>
      </x:c>
      <x:c r="F21" s="133" t="n">
        <x:v>0.94714</x:v>
      </x:c>
      <x:c r="G21" s="117" t="str">
        <x:v>Direct supersedure / reissue</x:v>
      </x:c>
      <x:c r="H21" s="117" t="str">
        <x:v>2025-0120 explicitly states that it supersedes EASA AD 2024-0199.</x:v>
      </x:c>
      <x:c r="I21" s="117" t="str">
        <x:v>Same ATA 44 antenna-adapter-plate inspection; successor extends applicability by adding A321-271NY.</x:v>
      </x:c>
      <x:c r="J21" s="116" t="str">
        <x:v>Yes</x:v>
      </x:c>
      <x:c r="K21" s="116" t="str">
        <x:v>No</x:v>
      </x:c>
      <x:c r="L21" s="116" t="str">
        <x:v>Yes: 2025-0120 → 2024-0199</x:v>
      </x:c>
      <x:c r="M21" s="116" t="str">
        <x:v>Yes</x:v>
      </x:c>
      <x:c r="N21" s="119" t="str">
        <x:v>https://drive.google.com/file/d/10cb3_WU91C01LytOrme9kxRtARJuwlje</x:v>
      </x:c>
      <x:c r="O21" s="119" t="str">
        <x:v>https://drive.google.com/file/d/1TCFYTHnyLNooMItYFDdXqK3G16x1nXjA</x:v>
      </x:c>
      <x:c r="P21" s="117" t="str">
        <x:v>Historical predecessor plus expanded-applicability successor.</x:v>
      </x:c>
    </x:row>
    <x:row r="22" ht="76" customHeight="1">
      <x:c r="A22" s="120" t="n">
        <x:v>17</x:v>
      </x:c>
      <x:c r="B22" s="120" t="str">
        <x:v>2025-0068</x:v>
      </x:c>
      <x:c r="C22" s="122" t="n">
        <x:v>45744</x:v>
      </x:c>
      <x:c r="D22" s="120" t="str">
        <x:v>2026-0017</x:v>
      </x:c>
      <x:c r="E22" s="122" t="n">
        <x:v>46045</x:v>
      </x:c>
      <x:c r="F22" s="134" t="n">
        <x:v>0.98877</x:v>
      </x:c>
      <x:c r="G22" s="121" t="str">
        <x:v>Direct supersedure / reissue</x:v>
      </x:c>
      <x:c r="H22" s="121" t="str">
        <x:v>2026-0017 explicitly states that it supersedes EASA AD 2025-0068.</x:v>
      </x:c>
      <x:c r="I22" s="121" t="str">
        <x:v>Same ATA 25 galley inspection; successor adds galley P/N 6019F2-000001.</x:v>
      </x:c>
      <x:c r="J22" s="120" t="str">
        <x:v>Yes</x:v>
      </x:c>
      <x:c r="K22" s="120" t="str">
        <x:v>No</x:v>
      </x:c>
      <x:c r="L22" s="120" t="str">
        <x:v>Yes: 2026-0017 → 2025-0068</x:v>
      </x:c>
      <x:c r="M22" s="120" t="str">
        <x:v>Yes</x:v>
      </x:c>
      <x:c r="N22" s="123" t="str">
        <x:v>https://drive.google.com/file/d/1DqNuvBWiyJmstYGzv4meQIdl0eaUp1Qn</x:v>
      </x:c>
      <x:c r="O22" s="123" t="str">
        <x:v>https://drive.google.com/file/d/1Dvr81oPyBz-A-UBCgJwVWEfYqnSoNOIh</x:v>
      </x:c>
      <x:c r="P22" s="121" t="str">
        <x:v>Second direct edge in the three-document galley lineage.</x:v>
      </x:c>
    </x:row>
  </x:sheetData>
  <x:mergeCells>
    <x:mergeCell ref="A1:P1"/>
    <x:mergeCell ref="A2:P2"/>
    <x:mergeCell ref="A4:P4"/>
  </x:mergeCells>
  <x:conditionalFormatting sqref="G6:G22">
    <x:cfRule type="containsText" dxfId="3" priority="1" operator="containsText" text="Direct"/>
    <x:cfRule type="containsText" dxfId="4" priority="2" operator="containsText" text="Companion"/>
    <x:cfRule type="containsText" dxfId="5" priority="3" operator="containsText" text="Transitive"/>
    <x:cfRule type="containsText" dxfId="6" priority="4" operator="containsText" text="Successor"/>
  </x:conditionalFormatting>
  <x:conditionalFormatting sqref="K6:K22">
    <x:cfRule type="containsText" dxfId="7" priority="5" operator="containsText" text="No"/>
  </x:conditionalFormatting>
  <x:pageMargins left="0.7" right="0.7" top="0.75" bottom="0.75" header="0.3" footer="0.3"/>
  <x:tableParts count="1">
    <x:tablePart xmlns:r="http://schemas.openxmlformats.org/officeDocument/2006/relationships" r:id="Rdb8bfcde0e7d49c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40" hidden="0" customWidth="1"/>
    <x:col min="3" max="3" width="44" hidden="0" customWidth="1"/>
    <x:col min="4" max="4" width="44" hidden="0" customWidth="1"/>
    <x:col min="5" max="5" width="18" hidden="0" customWidth="1"/>
    <x:col min="6" max="6" width="18" hidden="0" customWidth="1"/>
  </x:cols>
  <x:sheetData>
    <x:row r="1" ht="32" customHeight="1">
      <x:c r="A1" s="3" t="str">
        <x:v>Parser correction exposed by the seven false conflict groups</x:v>
      </x:c>
      <x:c r="B1" s="3"/>
      <x:c r="C1" s="3"/>
      <x:c r="D1" s="3"/>
      <x:c r="E1" s="3"/>
      <x:c r="F1" s="3"/>
    </x:row>
    <x:row r="2" ht="30" customHeight="1">
      <x:c r="A2" s="7" t="str">
        <x:v>The source PDFs are correct. The current AD_HEADER_RE fails on legacy headers with spaces around the dash, then accepts an older compact body reference as if it were the document's own AD number.</x:v>
      </x:c>
      <x:c r="B2" s="7"/>
      <x:c r="C2" s="7"/>
      <x:c r="D2" s="7"/>
      <x:c r="E2" s="7"/>
      <x:c r="F2" s="7"/>
    </x:row>
    <x:row r="4" ht="34" customHeight="1">
      <x:c r="A4" s="56" t="str">
        <x:v>Issue</x:v>
      </x:c>
      <x:c r="B4" s="57" t="str">
        <x:v>Document evidence</x:v>
      </x:c>
      <x:c r="C4" s="57" t="str">
        <x:v>Effect</x:v>
      </x:c>
      <x:c r="D4" s="58" t="str">
        <x:v>Recommended correction</x:v>
      </x:c>
    </x:row>
    <x:row r="5" ht="62" customHeight="1">
      <x:c r="A5" s="63" t="str">
        <x:v>Header separator is too strict</x:v>
      </x:c>
      <x:c r="B5" s="65" t="str">
        <x:v>Own headers use forms such as 2007 - 0281 or 2008 – 0032.</x:v>
      </x:c>
      <x:c r="C5" s="65" t="str">
        <x:v>The current year-separator-number pattern does not allow surrounding spaces, so the correct header is skipped.</x:v>
      </x:c>
      <x:c r="D5" s="65" t="str">
        <x:v>Allow \s* around [-–—_].</x:v>
      </x:c>
    </x:row>
    <x:row r="6" ht="62" customHeight="1">
      <x:c r="A6" s="66" t="str">
        <x:v>Header token is too permissive</x:v>
      </x:c>
      <x:c r="B6" s="68" t="str">
        <x:v>Later text contains compact references such as EASA AD 2006-0047.</x:v>
      </x:c>
      <x:c r="C6" s="68" t="str">
        <x:v>Because No. is optional, a body reference satisfies AD_HEADER_RE and is returned with 1.00 confidence.</x:v>
      </x:c>
      <x:c r="D6" s="68" t="str">
        <x:v>Require AD No. for the high-confidence header regex and anchor it to a line on page 1.</x:v>
      </x:c>
    </x:row>
    <x:row r="7" ht="62" customHeight="1">
      <x:c r="A7" s="66" t="str">
        <x:v>No header/filename mismatch guard</x:v>
      </x:c>
      <x:c r="B7" s="68" t="str">
        <x:v>All seven affected filenames encode the correct AD number, but the older body match overrides them.</x:v>
      </x:c>
      <x:c r="C7" s="68" t="str">
        <x:v>Seven unrelated files are grouped under old logical-version keys, producing 14 conflict rows.</x:v>
      </x:c>
      <x:c r="D7" s="68" t="str">
        <x:v>Parse header and filename independently; if they disagree, flag the row and prefer the anchored own-header/filename consensus.</x:v>
      </x:c>
    </x:row>
    <x:row r="8" ht="62" customHeight="1">
      <x:c r="A8" s="136" t="str">
        <x:v>Generic fallback can be historical</x:v>
      </x:c>
      <x:c r="B8" s="135" t="str">
        <x:v>AD bodies legitimately cite many earlier ADs.</x:v>
      </x:c>
      <x:c r="C8" s="135" t="str">
        <x:v>A generic first-page number is not safe as a current-document identifier.</x:v>
      </x:c>
      <x:c r="D8" s="135" t="str">
        <x:v>Use generic matching only after both header and filename fail, and keep low confidence/manual review.</x:v>
      </x:c>
    </x:row>
    <x:row r="10">
      <x:c r="A10" s="9" t="str">
        <x:v>Recommended high-confidence header regex</x:v>
      </x:c>
      <x:c r="B10" s="9"/>
      <x:c r="C10" s="9"/>
      <x:c r="D10" s="9"/>
      <x:c r="E10" s="9"/>
      <x:c r="F10" s="9"/>
    </x:row>
    <x:row r="11">
      <x:c r="A11" s="156" t="str">
        <x:v>AD_HEADER_RE = re.compile(
    r"""
    (?mix)^\s*
    (?:EASA\s+)?(?:EMERGENCY\s+)?AD\s+No\.?\s*[:#]?\s*
    (?P&lt;year&gt;(?:19|20)\d{2})\s*[-–—_]\s*(?P&lt;number&gt;\d{4})
    (?:\s*[-_]?\s*(?P&lt;revision&gt;R\d+))?
    (?:\s*[-_]?\s*(?P&lt;emergency&gt;E))?\b
    """
)</x:v>
      </x:c>
      <x:c r="B11" s="157"/>
      <x:c r="C11" s="157"/>
      <x:c r="D11" s="157"/>
      <x:c r="E11" s="157"/>
      <x:c r="F11" s="158"/>
    </x:row>
    <x:row r="12">
      <x:c r="A12" s="159"/>
      <x:c r="B12" s="160"/>
      <x:c r="C12" s="160"/>
      <x:c r="D12" s="160"/>
      <x:c r="E12" s="160"/>
      <x:c r="F12" s="161"/>
    </x:row>
    <x:row r="13">
      <x:c r="A13" s="159"/>
      <x:c r="B13" s="160"/>
      <x:c r="C13" s="160"/>
      <x:c r="D13" s="160"/>
      <x:c r="E13" s="160"/>
      <x:c r="F13" s="161"/>
    </x:row>
    <x:row r="14">
      <x:c r="A14" s="159"/>
      <x:c r="B14" s="160"/>
      <x:c r="C14" s="160"/>
      <x:c r="D14" s="160"/>
      <x:c r="E14" s="160"/>
      <x:c r="F14" s="161"/>
    </x:row>
    <x:row r="15">
      <x:c r="A15" s="159"/>
      <x:c r="B15" s="160"/>
      <x:c r="C15" s="160"/>
      <x:c r="D15" s="160"/>
      <x:c r="E15" s="160"/>
      <x:c r="F15" s="161"/>
    </x:row>
    <x:row r="16">
      <x:c r="A16" s="159"/>
      <x:c r="B16" s="160"/>
      <x:c r="C16" s="160"/>
      <x:c r="D16" s="160"/>
      <x:c r="E16" s="160"/>
      <x:c r="F16" s="161"/>
    </x:row>
    <x:row r="17">
      <x:c r="A17" s="159"/>
      <x:c r="B17" s="160"/>
      <x:c r="C17" s="160"/>
      <x:c r="D17" s="160"/>
      <x:c r="E17" s="160"/>
      <x:c r="F17" s="161"/>
    </x:row>
    <x:row r="18">
      <x:c r="A18" s="162"/>
      <x:c r="B18" s="163"/>
      <x:c r="C18" s="163"/>
      <x:c r="D18" s="163"/>
      <x:c r="E18" s="163"/>
      <x:c r="F18" s="164"/>
    </x:row>
    <x:row r="20" ht="34" customHeight="1">
      <x:c r="A20" s="56" t="str">
        <x:v>Rerun step</x:v>
      </x:c>
      <x:c r="B20" s="57" t="str">
        <x:v>Setting / check</x:v>
      </x:c>
      <x:c r="C20" s="57" t="str">
        <x:v>Expected result</x:v>
      </x:c>
      <x:c r="D20" s="58" t="str">
        <x:v>Why</x:v>
      </x:c>
    </x:row>
    <x:row r="21" ht="48" customHeight="1">
      <x:c r="A21" s="65" t="str">
        <x:v>1</x:v>
      </x:c>
      <x:c r="B21" s="65" t="str">
        <x:v>Keep FORCE_RESCAN_PDFS = False</x:v>
      </x:c>
      <x:c r="C21" s="65" t="str">
        <x:v>Reuse extracted-text Parquet cache</x:v>
      </x:c>
      <x:c r="D21" s="65" t="str">
        <x:v>The PDFs and extracted text did not change; only parsing/grouping logic changes.</x:v>
      </x:c>
    </x:row>
    <x:row r="22" ht="48" customHeight="1">
      <x:c r="A22" s="68" t="str">
        <x:v>2</x:v>
      </x:c>
      <x:c r="B22" s="68" t="str">
        <x:v>Recompute AD enrichment and manifest fields</x:v>
      </x:c>
      <x:c r="C22" s="68" t="str">
        <x:v>Seven corrected AD/base numbers</x:v>
      </x:c>
      <x:c r="D22" s="68" t="str">
        <x:v>Cached records must be re-enriched with the new regex before duplicate grouping.</x:v>
      </x:c>
    </x:row>
    <x:row r="23" ht="48" customHeight="1">
      <x:c r="A23" s="68" t="str">
        <x:v>3</x:v>
      </x:c>
      <x:c r="B23" s="68" t="str">
        <x:v>Rebuild logical-version and family fields</x:v>
      </x:c>
      <x:c r="C23" s="68" t="str">
        <x:v>Seven false groups disappear</x:v>
      </x:c>
      <x:c r="D23" s="68" t="str">
        <x:v>Each corrected row moves to its own true AD family.</x:v>
      </x:c>
    </x:row>
    <x:row r="24" ht="48" customHeight="1">
      <x:c r="A24" s="68" t="str">
        <x:v>4</x:v>
      </x:c>
      <x:c r="B24" s="68" t="str">
        <x:v>Rebuild supersedure/inverse links</x:v>
      </x:c>
      <x:c r="C24" s="68" t="str">
        <x:v>No false 2007-0178 → 2006-0223 direct edge</x:v>
      </x:c>
      <x:c r="D24" s="68" t="str">
        <x:v>The source says Supersedure: None; a historical body reference is not a direct relationship.</x:v>
      </x:c>
    </x:row>
    <x:row r="25" ht="48" customHeight="1">
      <x:c r="A25" s="135" t="str">
        <x:v>5</x:v>
      </x:c>
      <x:c r="B25" s="135" t="str">
        <x:v>Re-export review reports</x:v>
      </x:c>
      <x:c r="C25" s="135" t="str">
        <x:v>same_version_content_conflicts should fall from 14 to 0 for these cases</x:v>
      </x:c>
      <x:c r="D25" s="135" t="str">
        <x:v>All fourteen PDFs remain; only seven manifest identities change.</x:v>
      </x:c>
    </x:row>
    <x:row r="27" ht="34" customHeight="1">
      <x:c r="A27" s="56" t="str">
        <x:v>File currently misparsed</x:v>
      </x:c>
      <x:c r="B27" s="57" t="str">
        <x:v>Current reported AD</x:v>
      </x:c>
      <x:c r="C27" s="58" t="str">
        <x:v>Verified AD</x:v>
      </x:c>
    </x:row>
    <x:row r="28" ht="34" customHeight="1">
      <x:c r="A28" s="65" t="str">
        <x:v>2007-0281__AD_2007-0281_1__easa_ad_2007_0281.pdf</x:v>
      </x:c>
      <x:c r="B28" s="166" t="str">
        <x:v>2006-0047</x:v>
      </x:c>
      <x:c r="C28" s="166" t="str">
        <x:v>2007-0281</x:v>
      </x:c>
    </x:row>
    <x:row r="29" ht="34" customHeight="1">
      <x:c r="A29" s="68" t="str">
        <x:v>2008-0002__AD_2008-0002_1__easa_ad_2008_0002.pdf</x:v>
      </x:c>
      <x:c r="B29" s="167" t="str">
        <x:v>2006-0107</x:v>
      </x:c>
      <x:c r="C29" s="167" t="str">
        <x:v>2008-0002</x:v>
      </x:c>
    </x:row>
    <x:row r="30" ht="34" customHeight="1">
      <x:c r="A30" s="68" t="str">
        <x:v>2008-0032__AD_2008-0032_1__easa_ad_2008_0032.pdf</x:v>
      </x:c>
      <x:c r="B30" s="167" t="str">
        <x:v>2006-0108</x:v>
      </x:c>
      <x:c r="C30" s="167" t="str">
        <x:v>2008-0032</x:v>
      </x:c>
    </x:row>
    <x:row r="31" ht="34" customHeight="1">
      <x:c r="A31" s="68" t="str">
        <x:v>2007-0133__AD_2007-0133_1__easa_ad_2007_0133_superseded.pdf</x:v>
      </x:c>
      <x:c r="B31" s="167" t="str">
        <x:v>2006-0129</x:v>
      </x:c>
      <x:c r="C31" s="167" t="str">
        <x:v>2007-0133</x:v>
      </x:c>
    </x:row>
    <x:row r="32" ht="34" customHeight="1">
      <x:c r="A32" s="68" t="str">
        <x:v>2007-0178__AD_2007-0178_1__easa_ad_2007_0178_superseded.pdf</x:v>
      </x:c>
      <x:c r="B32" s="167" t="str">
        <x:v>2006-0223</x:v>
      </x:c>
      <x:c r="C32" s="167" t="str">
        <x:v>2007-0178</x:v>
      </x:c>
    </x:row>
    <x:row r="33" ht="34" customHeight="1">
      <x:c r="A33" s="68" t="str">
        <x:v>2008-0023__AD_2008-0023_1__easa_ad_2008_0023_Superseded.pdf</x:v>
      </x:c>
      <x:c r="B33" s="167" t="str">
        <x:v>2006-0307</x:v>
      </x:c>
      <x:c r="C33" s="167" t="str">
        <x:v>2008-0023</x:v>
      </x:c>
    </x:row>
    <x:row r="34" ht="34" customHeight="1">
      <x:c r="A34" s="135" t="str">
        <x:v>2007-0158__AD_2007-0158_1__easa_ad_2007_0158_Superseded.pdf</x:v>
      </x:c>
      <x:c r="B34" s="168" t="str">
        <x:v>2006-0308</x:v>
      </x:c>
      <x:c r="C34" s="168" t="str">
        <x:v>2007-0158</x:v>
      </x:c>
    </x:row>
  </x:sheetData>
  <x:mergeCells>
    <x:mergeCell ref="A1:F1"/>
    <x:mergeCell ref="A2:F2"/>
    <x:mergeCell ref="A10:F10"/>
    <x:mergeCell ref="A11:F18"/>
  </x:mergeCells>
  <x:pageMargins left="0.7" right="0.7" top="0.75" bottom="0.75" header="0.3" footer="0.3"/>
</x:worksheet>
</file>